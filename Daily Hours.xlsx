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nowfoxgroup.sharepoint.com/sites/DISPACHcopy/Shared Documents/General/08. Holiday and Labour Planning/Daily Staffing/"/>
    </mc:Choice>
  </mc:AlternateContent>
  <xr:revisionPtr revIDLastSave="190" documentId="11_1421E1352505801934569761B9728DC7FC624672" xr6:coauthVersionLast="47" xr6:coauthVersionMax="47" xr10:uidLastSave="{A6C9D633-00C5-43D5-87F3-6E4EBB80199F}"/>
  <bookViews>
    <workbookView xWindow="28680" yWindow="-120" windowWidth="29040" windowHeight="15720" tabRatio="500" xr2:uid="{00000000-000D-0000-FFFF-FFFF00000000}"/>
  </bookViews>
  <sheets>
    <sheet name="Staffing 2026" sheetId="1" r:id="rId1"/>
    <sheet name="Orders &amp; Pallets" sheetId="4" r:id="rId2"/>
    <sheet name="Sheet1" sheetId="2" r:id="rId3"/>
    <sheet name="Sheet5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32" i="1" l="1"/>
  <c r="AD133" i="1"/>
  <c r="AD134" i="1"/>
  <c r="AD135" i="1"/>
  <c r="AD136" i="1"/>
  <c r="AD137" i="1"/>
  <c r="AD138" i="1"/>
  <c r="AD131" i="1"/>
  <c r="AI97" i="4"/>
  <c r="AH97" i="4"/>
  <c r="AI96" i="4"/>
  <c r="AH96" i="4"/>
  <c r="AI95" i="4"/>
  <c r="AH95" i="4"/>
  <c r="AI94" i="4"/>
  <c r="AH94" i="4"/>
  <c r="AI93" i="4"/>
  <c r="AH93" i="4"/>
  <c r="AI92" i="4"/>
  <c r="AH92" i="4"/>
  <c r="AI91" i="4"/>
  <c r="AH91" i="4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I83" i="4"/>
  <c r="AH83" i="4"/>
  <c r="AI82" i="4"/>
  <c r="AH82" i="4"/>
  <c r="AI81" i="4"/>
  <c r="AH81" i="4"/>
  <c r="AI80" i="4"/>
  <c r="AH80" i="4"/>
  <c r="AI79" i="4"/>
  <c r="AH79" i="4"/>
  <c r="AI78" i="4"/>
  <c r="AH78" i="4"/>
  <c r="AI77" i="4"/>
  <c r="AH77" i="4"/>
  <c r="AI76" i="4"/>
  <c r="AH76" i="4"/>
  <c r="AI75" i="4"/>
  <c r="AH75" i="4"/>
  <c r="AI74" i="4"/>
  <c r="AH74" i="4"/>
  <c r="AI73" i="4"/>
  <c r="AH73" i="4"/>
  <c r="AI72" i="4"/>
  <c r="AH72" i="4"/>
  <c r="AI71" i="4"/>
  <c r="AH71" i="4"/>
  <c r="AI70" i="4"/>
  <c r="AH70" i="4"/>
  <c r="AI69" i="4"/>
  <c r="AH69" i="4"/>
  <c r="AI68" i="4"/>
  <c r="AH68" i="4"/>
  <c r="AI67" i="4"/>
  <c r="AH67" i="4"/>
  <c r="AI66" i="4"/>
  <c r="AH66" i="4"/>
  <c r="AI65" i="4"/>
  <c r="AH65" i="4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H58" i="4"/>
  <c r="AI57" i="4"/>
  <c r="AH57" i="4"/>
  <c r="AI56" i="4"/>
  <c r="AH56" i="4"/>
  <c r="AI55" i="4"/>
  <c r="AH55" i="4"/>
  <c r="AI54" i="4"/>
  <c r="AH54" i="4"/>
  <c r="AI53" i="4"/>
  <c r="AH53" i="4"/>
  <c r="AI52" i="4"/>
  <c r="AH52" i="4"/>
  <c r="AI51" i="4"/>
  <c r="AH51" i="4"/>
  <c r="AI50" i="4"/>
  <c r="AH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I10" i="4"/>
  <c r="AH10" i="4"/>
  <c r="AI9" i="4"/>
  <c r="AH9" i="4"/>
  <c r="AI8" i="4"/>
  <c r="AH8" i="4"/>
  <c r="AI7" i="4"/>
  <c r="AH7" i="4"/>
  <c r="AI6" i="4"/>
  <c r="AH6" i="4"/>
  <c r="AI5" i="4"/>
  <c r="AH5" i="4"/>
  <c r="AI4" i="4"/>
  <c r="AH4" i="4"/>
  <c r="AI3" i="4"/>
  <c r="AH3" i="4"/>
  <c r="AA292" i="1"/>
  <c r="Y292" i="1"/>
  <c r="W292" i="1"/>
  <c r="R292" i="1"/>
  <c r="S292" i="1" s="1"/>
  <c r="Q292" i="1"/>
  <c r="O292" i="1"/>
  <c r="M292" i="1"/>
  <c r="K292" i="1"/>
  <c r="G292" i="1"/>
  <c r="I292" i="1" s="1"/>
  <c r="E292" i="1"/>
  <c r="C292" i="1"/>
  <c r="B292" i="1"/>
  <c r="A292" i="1"/>
  <c r="AA291" i="1"/>
  <c r="Y291" i="1"/>
  <c r="W291" i="1"/>
  <c r="S291" i="1"/>
  <c r="R291" i="1"/>
  <c r="Q291" i="1"/>
  <c r="O291" i="1"/>
  <c r="K291" i="1"/>
  <c r="M291" i="1" s="1"/>
  <c r="I291" i="1"/>
  <c r="G291" i="1"/>
  <c r="T291" i="1" s="1"/>
  <c r="E291" i="1"/>
  <c r="C291" i="1"/>
  <c r="B291" i="1"/>
  <c r="A291" i="1"/>
  <c r="AA290" i="1"/>
  <c r="Y290" i="1"/>
  <c r="W290" i="1"/>
  <c r="S290" i="1"/>
  <c r="R290" i="1"/>
  <c r="O290" i="1"/>
  <c r="Q290" i="1" s="1"/>
  <c r="M290" i="1"/>
  <c r="K290" i="1"/>
  <c r="G290" i="1"/>
  <c r="E290" i="1"/>
  <c r="C290" i="1"/>
  <c r="B290" i="1"/>
  <c r="A290" i="1"/>
  <c r="AA289" i="1"/>
  <c r="Y289" i="1"/>
  <c r="W289" i="1"/>
  <c r="R289" i="1"/>
  <c r="S289" i="1" s="1"/>
  <c r="U289" i="1" s="1"/>
  <c r="Q289" i="1"/>
  <c r="O289" i="1"/>
  <c r="K289" i="1"/>
  <c r="M289" i="1" s="1"/>
  <c r="I289" i="1"/>
  <c r="G289" i="1"/>
  <c r="T289" i="1" s="1"/>
  <c r="E289" i="1"/>
  <c r="C289" i="1"/>
  <c r="B289" i="1"/>
  <c r="A289" i="1"/>
  <c r="AA288" i="1"/>
  <c r="Y288" i="1"/>
  <c r="W288" i="1"/>
  <c r="S288" i="1"/>
  <c r="R288" i="1"/>
  <c r="O288" i="1"/>
  <c r="Q288" i="1" s="1"/>
  <c r="M288" i="1"/>
  <c r="K288" i="1"/>
  <c r="I288" i="1"/>
  <c r="G288" i="1"/>
  <c r="E288" i="1"/>
  <c r="C288" i="1"/>
  <c r="B288" i="1"/>
  <c r="A288" i="1"/>
  <c r="AA287" i="1"/>
  <c r="Y287" i="1"/>
  <c r="W287" i="1"/>
  <c r="R287" i="1"/>
  <c r="S287" i="1" s="1"/>
  <c r="U287" i="1" s="1"/>
  <c r="Q287" i="1"/>
  <c r="O287" i="1"/>
  <c r="M287" i="1"/>
  <c r="K287" i="1"/>
  <c r="I287" i="1"/>
  <c r="G287" i="1"/>
  <c r="T287" i="1" s="1"/>
  <c r="AD287" i="1" s="1"/>
  <c r="E287" i="1"/>
  <c r="C287" i="1"/>
  <c r="B287" i="1"/>
  <c r="A287" i="1"/>
  <c r="AA286" i="1"/>
  <c r="Y286" i="1"/>
  <c r="W286" i="1"/>
  <c r="T286" i="1"/>
  <c r="S286" i="1"/>
  <c r="R286" i="1"/>
  <c r="Q286" i="1"/>
  <c r="O286" i="1"/>
  <c r="M286" i="1"/>
  <c r="K286" i="1"/>
  <c r="G286" i="1"/>
  <c r="I286" i="1" s="1"/>
  <c r="E286" i="1"/>
  <c r="C286" i="1"/>
  <c r="B286" i="1"/>
  <c r="A286" i="1"/>
  <c r="AA285" i="1"/>
  <c r="Y285" i="1"/>
  <c r="W285" i="1"/>
  <c r="S285" i="1"/>
  <c r="U285" i="1" s="1"/>
  <c r="R285" i="1"/>
  <c r="Q285" i="1"/>
  <c r="O285" i="1"/>
  <c r="K285" i="1"/>
  <c r="M285" i="1" s="1"/>
  <c r="I285" i="1"/>
  <c r="G285" i="1"/>
  <c r="T285" i="1" s="1"/>
  <c r="AD285" i="1" s="1"/>
  <c r="E285" i="1"/>
  <c r="C285" i="1"/>
  <c r="B285" i="1"/>
  <c r="A285" i="1"/>
  <c r="AA284" i="1"/>
  <c r="Y284" i="1"/>
  <c r="W284" i="1"/>
  <c r="S284" i="1"/>
  <c r="R284" i="1"/>
  <c r="O284" i="1"/>
  <c r="Q284" i="1" s="1"/>
  <c r="M284" i="1"/>
  <c r="K284" i="1"/>
  <c r="I284" i="1"/>
  <c r="G284" i="1"/>
  <c r="E284" i="1"/>
  <c r="C284" i="1"/>
  <c r="B284" i="1"/>
  <c r="A284" i="1"/>
  <c r="AD283" i="1"/>
  <c r="AA283" i="1"/>
  <c r="Y283" i="1"/>
  <c r="W283" i="1"/>
  <c r="R283" i="1"/>
  <c r="S283" i="1" s="1"/>
  <c r="U283" i="1" s="1"/>
  <c r="Q283" i="1"/>
  <c r="O283" i="1"/>
  <c r="M283" i="1"/>
  <c r="K283" i="1"/>
  <c r="I283" i="1"/>
  <c r="G283" i="1"/>
  <c r="T283" i="1" s="1"/>
  <c r="E283" i="1"/>
  <c r="C283" i="1"/>
  <c r="B283" i="1"/>
  <c r="A283" i="1"/>
  <c r="AD282" i="1"/>
  <c r="AA282" i="1"/>
  <c r="Y282" i="1"/>
  <c r="W282" i="1"/>
  <c r="T282" i="1"/>
  <c r="S282" i="1"/>
  <c r="R282" i="1"/>
  <c r="Q282" i="1"/>
  <c r="O282" i="1"/>
  <c r="M282" i="1"/>
  <c r="K282" i="1"/>
  <c r="G282" i="1"/>
  <c r="I282" i="1" s="1"/>
  <c r="E282" i="1"/>
  <c r="C282" i="1"/>
  <c r="B282" i="1"/>
  <c r="A282" i="1"/>
  <c r="AD281" i="1"/>
  <c r="AA281" i="1"/>
  <c r="Y281" i="1"/>
  <c r="W281" i="1"/>
  <c r="S281" i="1"/>
  <c r="U281" i="1" s="1"/>
  <c r="R281" i="1"/>
  <c r="Q281" i="1"/>
  <c r="O281" i="1"/>
  <c r="K281" i="1"/>
  <c r="M281" i="1" s="1"/>
  <c r="I281" i="1"/>
  <c r="G281" i="1"/>
  <c r="T281" i="1" s="1"/>
  <c r="E281" i="1"/>
  <c r="C281" i="1"/>
  <c r="B281" i="1"/>
  <c r="A281" i="1"/>
  <c r="AA280" i="1"/>
  <c r="Y280" i="1"/>
  <c r="W280" i="1"/>
  <c r="S280" i="1"/>
  <c r="R280" i="1"/>
  <c r="O280" i="1"/>
  <c r="Q280" i="1" s="1"/>
  <c r="M280" i="1"/>
  <c r="K280" i="1"/>
  <c r="I280" i="1"/>
  <c r="G280" i="1"/>
  <c r="E280" i="1"/>
  <c r="C280" i="1"/>
  <c r="B280" i="1"/>
  <c r="A280" i="1"/>
  <c r="AD279" i="1"/>
  <c r="AA279" i="1"/>
  <c r="Y279" i="1"/>
  <c r="W279" i="1"/>
  <c r="R279" i="1"/>
  <c r="S279" i="1" s="1"/>
  <c r="U279" i="1" s="1"/>
  <c r="Q279" i="1"/>
  <c r="O279" i="1"/>
  <c r="M279" i="1"/>
  <c r="K279" i="1"/>
  <c r="I279" i="1"/>
  <c r="G279" i="1"/>
  <c r="T279" i="1" s="1"/>
  <c r="E279" i="1"/>
  <c r="C279" i="1"/>
  <c r="B279" i="1"/>
  <c r="A279" i="1"/>
  <c r="AD278" i="1"/>
  <c r="AA278" i="1"/>
  <c r="Y278" i="1"/>
  <c r="W278" i="1"/>
  <c r="T278" i="1"/>
  <c r="S278" i="1"/>
  <c r="R278" i="1"/>
  <c r="Q278" i="1"/>
  <c r="O278" i="1"/>
  <c r="M278" i="1"/>
  <c r="K278" i="1"/>
  <c r="G278" i="1"/>
  <c r="I278" i="1" s="1"/>
  <c r="E278" i="1"/>
  <c r="C278" i="1"/>
  <c r="B278" i="1"/>
  <c r="A278" i="1"/>
  <c r="AA277" i="1"/>
  <c r="Y277" i="1"/>
  <c r="W277" i="1"/>
  <c r="S277" i="1"/>
  <c r="R277" i="1"/>
  <c r="Q277" i="1"/>
  <c r="O277" i="1"/>
  <c r="K277" i="1"/>
  <c r="M277" i="1" s="1"/>
  <c r="I277" i="1"/>
  <c r="G277" i="1"/>
  <c r="E277" i="1"/>
  <c r="C277" i="1"/>
  <c r="B277" i="1"/>
  <c r="A277" i="1"/>
  <c r="AA276" i="1"/>
  <c r="Y276" i="1"/>
  <c r="W276" i="1"/>
  <c r="S276" i="1"/>
  <c r="R276" i="1"/>
  <c r="O276" i="1"/>
  <c r="Q276" i="1" s="1"/>
  <c r="M276" i="1"/>
  <c r="K276" i="1"/>
  <c r="I276" i="1"/>
  <c r="G276" i="1"/>
  <c r="E276" i="1"/>
  <c r="C276" i="1"/>
  <c r="B276" i="1"/>
  <c r="A276" i="1"/>
  <c r="AD275" i="1"/>
  <c r="AA275" i="1"/>
  <c r="Y275" i="1"/>
  <c r="W275" i="1"/>
  <c r="R275" i="1"/>
  <c r="S275" i="1" s="1"/>
  <c r="U275" i="1" s="1"/>
  <c r="Q275" i="1"/>
  <c r="O275" i="1"/>
  <c r="M275" i="1"/>
  <c r="K275" i="1"/>
  <c r="I275" i="1"/>
  <c r="G275" i="1"/>
  <c r="T275" i="1" s="1"/>
  <c r="E275" i="1"/>
  <c r="C275" i="1"/>
  <c r="B275" i="1"/>
  <c r="A275" i="1"/>
  <c r="AD274" i="1"/>
  <c r="AA274" i="1"/>
  <c r="Y274" i="1"/>
  <c r="W274" i="1"/>
  <c r="T274" i="1"/>
  <c r="S274" i="1"/>
  <c r="R274" i="1"/>
  <c r="Q274" i="1"/>
  <c r="O274" i="1"/>
  <c r="M274" i="1"/>
  <c r="K274" i="1"/>
  <c r="G274" i="1"/>
  <c r="I274" i="1" s="1"/>
  <c r="E274" i="1"/>
  <c r="C274" i="1"/>
  <c r="B274" i="1"/>
  <c r="A274" i="1"/>
  <c r="AA273" i="1"/>
  <c r="Y273" i="1"/>
  <c r="W273" i="1"/>
  <c r="S273" i="1"/>
  <c r="R273" i="1"/>
  <c r="Q273" i="1"/>
  <c r="O273" i="1"/>
  <c r="K273" i="1"/>
  <c r="M273" i="1" s="1"/>
  <c r="I273" i="1"/>
  <c r="G273" i="1"/>
  <c r="E273" i="1"/>
  <c r="C273" i="1"/>
  <c r="B273" i="1"/>
  <c r="A273" i="1"/>
  <c r="AA272" i="1"/>
  <c r="Y272" i="1"/>
  <c r="W272" i="1"/>
  <c r="S272" i="1"/>
  <c r="R272" i="1"/>
  <c r="O272" i="1"/>
  <c r="Q272" i="1" s="1"/>
  <c r="M272" i="1"/>
  <c r="K272" i="1"/>
  <c r="I272" i="1"/>
  <c r="G272" i="1"/>
  <c r="T272" i="1" s="1"/>
  <c r="E272" i="1"/>
  <c r="C272" i="1"/>
  <c r="B272" i="1"/>
  <c r="A272" i="1"/>
  <c r="AA271" i="1"/>
  <c r="Y271" i="1"/>
  <c r="W271" i="1"/>
  <c r="R271" i="1"/>
  <c r="S271" i="1" s="1"/>
  <c r="Q271" i="1"/>
  <c r="O271" i="1"/>
  <c r="M271" i="1"/>
  <c r="K271" i="1"/>
  <c r="I271" i="1"/>
  <c r="G271" i="1"/>
  <c r="T271" i="1" s="1"/>
  <c r="E271" i="1"/>
  <c r="C271" i="1"/>
  <c r="B271" i="1"/>
  <c r="A271" i="1"/>
  <c r="AA270" i="1"/>
  <c r="Y270" i="1"/>
  <c r="W270" i="1"/>
  <c r="S270" i="1"/>
  <c r="R270" i="1"/>
  <c r="Q270" i="1"/>
  <c r="O270" i="1"/>
  <c r="M270" i="1"/>
  <c r="K270" i="1"/>
  <c r="G270" i="1"/>
  <c r="E270" i="1"/>
  <c r="C270" i="1"/>
  <c r="B270" i="1"/>
  <c r="A270" i="1"/>
  <c r="AA269" i="1"/>
  <c r="Y269" i="1"/>
  <c r="W269" i="1"/>
  <c r="S269" i="1"/>
  <c r="R269" i="1"/>
  <c r="Q269" i="1"/>
  <c r="O269" i="1"/>
  <c r="K269" i="1"/>
  <c r="M269" i="1" s="1"/>
  <c r="I269" i="1"/>
  <c r="G269" i="1"/>
  <c r="E269" i="1"/>
  <c r="C269" i="1"/>
  <c r="B269" i="1"/>
  <c r="A269" i="1"/>
  <c r="AA268" i="1"/>
  <c r="Y268" i="1"/>
  <c r="W268" i="1"/>
  <c r="S268" i="1"/>
  <c r="R268" i="1"/>
  <c r="O268" i="1"/>
  <c r="Q268" i="1" s="1"/>
  <c r="M268" i="1"/>
  <c r="K268" i="1"/>
  <c r="I268" i="1"/>
  <c r="G268" i="1"/>
  <c r="T268" i="1" s="1"/>
  <c r="E268" i="1"/>
  <c r="C268" i="1"/>
  <c r="B268" i="1"/>
  <c r="A268" i="1"/>
  <c r="AA267" i="1"/>
  <c r="Y267" i="1"/>
  <c r="W267" i="1"/>
  <c r="U267" i="1"/>
  <c r="R267" i="1"/>
  <c r="S267" i="1" s="1"/>
  <c r="Q267" i="1"/>
  <c r="O267" i="1"/>
  <c r="M267" i="1"/>
  <c r="K267" i="1"/>
  <c r="I267" i="1"/>
  <c r="G267" i="1"/>
  <c r="T267" i="1" s="1"/>
  <c r="AD267" i="1" s="1"/>
  <c r="E267" i="1"/>
  <c r="C267" i="1"/>
  <c r="B267" i="1"/>
  <c r="A267" i="1"/>
  <c r="AA266" i="1"/>
  <c r="Y266" i="1"/>
  <c r="W266" i="1"/>
  <c r="T266" i="1"/>
  <c r="S266" i="1"/>
  <c r="R266" i="1"/>
  <c r="Q266" i="1"/>
  <c r="O266" i="1"/>
  <c r="M266" i="1"/>
  <c r="K266" i="1"/>
  <c r="G266" i="1"/>
  <c r="I266" i="1" s="1"/>
  <c r="E266" i="1"/>
  <c r="C266" i="1"/>
  <c r="B266" i="1"/>
  <c r="A266" i="1"/>
  <c r="AA265" i="1"/>
  <c r="Y265" i="1"/>
  <c r="W265" i="1"/>
  <c r="U265" i="1"/>
  <c r="S265" i="1"/>
  <c r="R265" i="1"/>
  <c r="Q265" i="1"/>
  <c r="O265" i="1"/>
  <c r="K265" i="1"/>
  <c r="M265" i="1" s="1"/>
  <c r="I265" i="1"/>
  <c r="G265" i="1"/>
  <c r="T265" i="1" s="1"/>
  <c r="AD265" i="1" s="1"/>
  <c r="E265" i="1"/>
  <c r="C265" i="1"/>
  <c r="B265" i="1"/>
  <c r="A265" i="1"/>
  <c r="AA264" i="1"/>
  <c r="Y264" i="1"/>
  <c r="W264" i="1"/>
  <c r="S264" i="1"/>
  <c r="U264" i="1" s="1"/>
  <c r="R264" i="1"/>
  <c r="O264" i="1"/>
  <c r="Q264" i="1" s="1"/>
  <c r="M264" i="1"/>
  <c r="K264" i="1"/>
  <c r="I264" i="1"/>
  <c r="G264" i="1"/>
  <c r="T264" i="1" s="1"/>
  <c r="AD264" i="1" s="1"/>
  <c r="E264" i="1"/>
  <c r="C264" i="1"/>
  <c r="B264" i="1"/>
  <c r="A264" i="1"/>
  <c r="AA263" i="1"/>
  <c r="Y263" i="1"/>
  <c r="W263" i="1"/>
  <c r="R263" i="1"/>
  <c r="S263" i="1" s="1"/>
  <c r="U263" i="1" s="1"/>
  <c r="Q263" i="1"/>
  <c r="O263" i="1"/>
  <c r="M263" i="1"/>
  <c r="K263" i="1"/>
  <c r="I263" i="1"/>
  <c r="G263" i="1"/>
  <c r="T263" i="1" s="1"/>
  <c r="AD263" i="1" s="1"/>
  <c r="E263" i="1"/>
  <c r="C263" i="1"/>
  <c r="B263" i="1"/>
  <c r="A263" i="1"/>
  <c r="AA262" i="1"/>
  <c r="Y262" i="1"/>
  <c r="W262" i="1"/>
  <c r="S262" i="1"/>
  <c r="R262" i="1"/>
  <c r="Q262" i="1"/>
  <c r="O262" i="1"/>
  <c r="M262" i="1"/>
  <c r="K262" i="1"/>
  <c r="G262" i="1"/>
  <c r="I262" i="1" s="1"/>
  <c r="E262" i="1"/>
  <c r="C262" i="1"/>
  <c r="B262" i="1"/>
  <c r="A262" i="1"/>
  <c r="AA261" i="1"/>
  <c r="Y261" i="1"/>
  <c r="W261" i="1"/>
  <c r="S261" i="1"/>
  <c r="R261" i="1"/>
  <c r="Q261" i="1"/>
  <c r="O261" i="1"/>
  <c r="K261" i="1"/>
  <c r="M261" i="1" s="1"/>
  <c r="I261" i="1"/>
  <c r="G261" i="1"/>
  <c r="T261" i="1" s="1"/>
  <c r="E261" i="1"/>
  <c r="C261" i="1"/>
  <c r="B261" i="1"/>
  <c r="A261" i="1"/>
  <c r="AA260" i="1"/>
  <c r="Y260" i="1"/>
  <c r="W260" i="1"/>
  <c r="U260" i="1"/>
  <c r="S260" i="1"/>
  <c r="R260" i="1"/>
  <c r="O260" i="1"/>
  <c r="Q260" i="1" s="1"/>
  <c r="M260" i="1"/>
  <c r="K260" i="1"/>
  <c r="I260" i="1"/>
  <c r="G260" i="1"/>
  <c r="T260" i="1" s="1"/>
  <c r="E260" i="1"/>
  <c r="C260" i="1"/>
  <c r="B260" i="1"/>
  <c r="A260" i="1"/>
  <c r="AA259" i="1"/>
  <c r="Y259" i="1"/>
  <c r="W259" i="1"/>
  <c r="R259" i="1"/>
  <c r="S259" i="1" s="1"/>
  <c r="U259" i="1" s="1"/>
  <c r="Q259" i="1"/>
  <c r="O259" i="1"/>
  <c r="M259" i="1"/>
  <c r="K259" i="1"/>
  <c r="I259" i="1"/>
  <c r="G259" i="1"/>
  <c r="T259" i="1" s="1"/>
  <c r="AD259" i="1" s="1"/>
  <c r="E259" i="1"/>
  <c r="C259" i="1"/>
  <c r="B259" i="1"/>
  <c r="A259" i="1"/>
  <c r="AA258" i="1"/>
  <c r="Y258" i="1"/>
  <c r="W258" i="1"/>
  <c r="T258" i="1"/>
  <c r="S258" i="1"/>
  <c r="R258" i="1"/>
  <c r="Q258" i="1"/>
  <c r="O258" i="1"/>
  <c r="M258" i="1"/>
  <c r="K258" i="1"/>
  <c r="G258" i="1"/>
  <c r="I258" i="1" s="1"/>
  <c r="E258" i="1"/>
  <c r="C258" i="1"/>
  <c r="B258" i="1"/>
  <c r="A258" i="1"/>
  <c r="AA257" i="1"/>
  <c r="Y257" i="1"/>
  <c r="W257" i="1"/>
  <c r="S257" i="1"/>
  <c r="U257" i="1" s="1"/>
  <c r="R257" i="1"/>
  <c r="Q257" i="1"/>
  <c r="O257" i="1"/>
  <c r="K257" i="1"/>
  <c r="M257" i="1" s="1"/>
  <c r="I257" i="1"/>
  <c r="G257" i="1"/>
  <c r="T257" i="1" s="1"/>
  <c r="AD257" i="1" s="1"/>
  <c r="E257" i="1"/>
  <c r="C257" i="1"/>
  <c r="B257" i="1"/>
  <c r="A257" i="1"/>
  <c r="AA256" i="1"/>
  <c r="Y256" i="1"/>
  <c r="W256" i="1"/>
  <c r="S256" i="1"/>
  <c r="R256" i="1"/>
  <c r="O256" i="1"/>
  <c r="Q256" i="1" s="1"/>
  <c r="M256" i="1"/>
  <c r="K256" i="1"/>
  <c r="I256" i="1"/>
  <c r="G256" i="1"/>
  <c r="E256" i="1"/>
  <c r="C256" i="1"/>
  <c r="B256" i="1"/>
  <c r="A256" i="1"/>
  <c r="AA255" i="1"/>
  <c r="Y255" i="1"/>
  <c r="W255" i="1"/>
  <c r="R255" i="1"/>
  <c r="S255" i="1" s="1"/>
  <c r="Q255" i="1"/>
  <c r="O255" i="1"/>
  <c r="M255" i="1"/>
  <c r="K255" i="1"/>
  <c r="I255" i="1"/>
  <c r="G255" i="1"/>
  <c r="T255" i="1" s="1"/>
  <c r="AD255" i="1" s="1"/>
  <c r="E255" i="1"/>
  <c r="C255" i="1"/>
  <c r="B255" i="1"/>
  <c r="A255" i="1"/>
  <c r="AA254" i="1"/>
  <c r="Y254" i="1"/>
  <c r="W254" i="1"/>
  <c r="S254" i="1"/>
  <c r="R254" i="1"/>
  <c r="Q254" i="1"/>
  <c r="O254" i="1"/>
  <c r="M254" i="1"/>
  <c r="K254" i="1"/>
  <c r="G254" i="1"/>
  <c r="I254" i="1" s="1"/>
  <c r="E254" i="1"/>
  <c r="C254" i="1"/>
  <c r="B254" i="1"/>
  <c r="A254" i="1"/>
  <c r="AA253" i="1"/>
  <c r="Y253" i="1"/>
  <c r="W253" i="1"/>
  <c r="S253" i="1"/>
  <c r="R253" i="1"/>
  <c r="Q253" i="1"/>
  <c r="O253" i="1"/>
  <c r="K253" i="1"/>
  <c r="M253" i="1" s="1"/>
  <c r="I253" i="1"/>
  <c r="G253" i="1"/>
  <c r="T253" i="1" s="1"/>
  <c r="AD253" i="1" s="1"/>
  <c r="E253" i="1"/>
  <c r="C253" i="1"/>
  <c r="B253" i="1"/>
  <c r="A253" i="1"/>
  <c r="AA252" i="1"/>
  <c r="Y252" i="1"/>
  <c r="W252" i="1"/>
  <c r="S252" i="1"/>
  <c r="R252" i="1"/>
  <c r="O252" i="1"/>
  <c r="Q252" i="1" s="1"/>
  <c r="M252" i="1"/>
  <c r="K252" i="1"/>
  <c r="I252" i="1"/>
  <c r="G252" i="1"/>
  <c r="E252" i="1"/>
  <c r="C252" i="1"/>
  <c r="B252" i="1"/>
  <c r="A252" i="1"/>
  <c r="AD251" i="1"/>
  <c r="AA251" i="1"/>
  <c r="Y251" i="1"/>
  <c r="W251" i="1"/>
  <c r="U251" i="1"/>
  <c r="R251" i="1"/>
  <c r="S251" i="1" s="1"/>
  <c r="Q251" i="1"/>
  <c r="O251" i="1"/>
  <c r="M251" i="1"/>
  <c r="K251" i="1"/>
  <c r="I251" i="1"/>
  <c r="G251" i="1"/>
  <c r="T251" i="1" s="1"/>
  <c r="E251" i="1"/>
  <c r="C251" i="1"/>
  <c r="B251" i="1"/>
  <c r="A251" i="1"/>
  <c r="AD250" i="1"/>
  <c r="AA250" i="1"/>
  <c r="Y250" i="1"/>
  <c r="W250" i="1"/>
  <c r="T250" i="1"/>
  <c r="U250" i="1" s="1"/>
  <c r="S250" i="1"/>
  <c r="R250" i="1"/>
  <c r="Q250" i="1"/>
  <c r="O250" i="1"/>
  <c r="M250" i="1"/>
  <c r="K250" i="1"/>
  <c r="G250" i="1"/>
  <c r="I250" i="1" s="1"/>
  <c r="E250" i="1"/>
  <c r="C250" i="1"/>
  <c r="B250" i="1"/>
  <c r="A250" i="1"/>
  <c r="AD249" i="1"/>
  <c r="AA249" i="1"/>
  <c r="Y249" i="1"/>
  <c r="W249" i="1"/>
  <c r="U249" i="1"/>
  <c r="S249" i="1"/>
  <c r="R249" i="1"/>
  <c r="Q249" i="1"/>
  <c r="O249" i="1"/>
  <c r="K249" i="1"/>
  <c r="M249" i="1" s="1"/>
  <c r="I249" i="1"/>
  <c r="G249" i="1"/>
  <c r="T249" i="1" s="1"/>
  <c r="E249" i="1"/>
  <c r="C249" i="1"/>
  <c r="B249" i="1"/>
  <c r="A249" i="1"/>
  <c r="AA248" i="1"/>
  <c r="Y248" i="1"/>
  <c r="W248" i="1"/>
  <c r="S248" i="1"/>
  <c r="R248" i="1"/>
  <c r="O248" i="1"/>
  <c r="Q248" i="1" s="1"/>
  <c r="M248" i="1"/>
  <c r="K248" i="1"/>
  <c r="I248" i="1"/>
  <c r="G248" i="1"/>
  <c r="E248" i="1"/>
  <c r="C248" i="1"/>
  <c r="B248" i="1"/>
  <c r="A248" i="1"/>
  <c r="AD247" i="1"/>
  <c r="AA247" i="1"/>
  <c r="Y247" i="1"/>
  <c r="W247" i="1"/>
  <c r="R247" i="1"/>
  <c r="S247" i="1" s="1"/>
  <c r="U247" i="1" s="1"/>
  <c r="Q247" i="1"/>
  <c r="O247" i="1"/>
  <c r="M247" i="1"/>
  <c r="K247" i="1"/>
  <c r="I247" i="1"/>
  <c r="G247" i="1"/>
  <c r="T247" i="1" s="1"/>
  <c r="E247" i="1"/>
  <c r="C247" i="1"/>
  <c r="B247" i="1"/>
  <c r="A247" i="1"/>
  <c r="AD246" i="1"/>
  <c r="AA246" i="1"/>
  <c r="Y246" i="1"/>
  <c r="W246" i="1"/>
  <c r="T246" i="1"/>
  <c r="S246" i="1"/>
  <c r="R246" i="1"/>
  <c r="Q246" i="1"/>
  <c r="O246" i="1"/>
  <c r="M246" i="1"/>
  <c r="K246" i="1"/>
  <c r="G246" i="1"/>
  <c r="I246" i="1" s="1"/>
  <c r="E246" i="1"/>
  <c r="C246" i="1"/>
  <c r="B246" i="1"/>
  <c r="A246" i="1"/>
  <c r="AA245" i="1"/>
  <c r="Y245" i="1"/>
  <c r="W245" i="1"/>
  <c r="S245" i="1"/>
  <c r="R245" i="1"/>
  <c r="Q245" i="1"/>
  <c r="O245" i="1"/>
  <c r="K245" i="1"/>
  <c r="M245" i="1" s="1"/>
  <c r="I245" i="1"/>
  <c r="G245" i="1"/>
  <c r="E245" i="1"/>
  <c r="C245" i="1"/>
  <c r="B245" i="1"/>
  <c r="A245" i="1"/>
  <c r="AA244" i="1"/>
  <c r="Y244" i="1"/>
  <c r="W244" i="1"/>
  <c r="S244" i="1"/>
  <c r="R244" i="1"/>
  <c r="O244" i="1"/>
  <c r="Q244" i="1" s="1"/>
  <c r="M244" i="1"/>
  <c r="K244" i="1"/>
  <c r="I244" i="1"/>
  <c r="G244" i="1"/>
  <c r="E244" i="1"/>
  <c r="C244" i="1"/>
  <c r="B244" i="1"/>
  <c r="A244" i="1"/>
  <c r="AD243" i="1"/>
  <c r="AA243" i="1"/>
  <c r="Y243" i="1"/>
  <c r="W243" i="1"/>
  <c r="R243" i="1"/>
  <c r="S243" i="1" s="1"/>
  <c r="U243" i="1" s="1"/>
  <c r="Q243" i="1"/>
  <c r="O243" i="1"/>
  <c r="M243" i="1"/>
  <c r="K243" i="1"/>
  <c r="I243" i="1"/>
  <c r="G243" i="1"/>
  <c r="T243" i="1" s="1"/>
  <c r="E243" i="1"/>
  <c r="C243" i="1"/>
  <c r="B243" i="1"/>
  <c r="A243" i="1"/>
  <c r="AD242" i="1"/>
  <c r="AA242" i="1"/>
  <c r="Y242" i="1"/>
  <c r="W242" i="1"/>
  <c r="T242" i="1"/>
  <c r="S242" i="1"/>
  <c r="R242" i="1"/>
  <c r="Q242" i="1"/>
  <c r="O242" i="1"/>
  <c r="M242" i="1"/>
  <c r="K242" i="1"/>
  <c r="G242" i="1"/>
  <c r="I242" i="1" s="1"/>
  <c r="E242" i="1"/>
  <c r="C242" i="1"/>
  <c r="B242" i="1"/>
  <c r="A242" i="1"/>
  <c r="AA241" i="1"/>
  <c r="Y241" i="1"/>
  <c r="W241" i="1"/>
  <c r="S241" i="1"/>
  <c r="R241" i="1"/>
  <c r="Q241" i="1"/>
  <c r="O241" i="1"/>
  <c r="K241" i="1"/>
  <c r="M241" i="1" s="1"/>
  <c r="I241" i="1"/>
  <c r="G241" i="1"/>
  <c r="E241" i="1"/>
  <c r="C241" i="1"/>
  <c r="B241" i="1"/>
  <c r="A241" i="1"/>
  <c r="AA240" i="1"/>
  <c r="Y240" i="1"/>
  <c r="W240" i="1"/>
  <c r="S240" i="1"/>
  <c r="R240" i="1"/>
  <c r="O240" i="1"/>
  <c r="Q240" i="1" s="1"/>
  <c r="M240" i="1"/>
  <c r="K240" i="1"/>
  <c r="I240" i="1"/>
  <c r="G240" i="1"/>
  <c r="T240" i="1" s="1"/>
  <c r="E240" i="1"/>
  <c r="C240" i="1"/>
  <c r="B240" i="1"/>
  <c r="A240" i="1"/>
  <c r="AA239" i="1"/>
  <c r="Y239" i="1"/>
  <c r="W239" i="1"/>
  <c r="R239" i="1"/>
  <c r="S239" i="1" s="1"/>
  <c r="Q239" i="1"/>
  <c r="O239" i="1"/>
  <c r="M239" i="1"/>
  <c r="K239" i="1"/>
  <c r="I239" i="1"/>
  <c r="G239" i="1"/>
  <c r="T239" i="1" s="1"/>
  <c r="E239" i="1"/>
  <c r="C239" i="1"/>
  <c r="B239" i="1"/>
  <c r="A239" i="1"/>
  <c r="AA238" i="1"/>
  <c r="Y238" i="1"/>
  <c r="W238" i="1"/>
  <c r="S238" i="1"/>
  <c r="R238" i="1"/>
  <c r="Q238" i="1"/>
  <c r="O238" i="1"/>
  <c r="M238" i="1"/>
  <c r="K238" i="1"/>
  <c r="G238" i="1"/>
  <c r="E238" i="1"/>
  <c r="C238" i="1"/>
  <c r="B238" i="1"/>
  <c r="A238" i="1"/>
  <c r="AA237" i="1"/>
  <c r="Y237" i="1"/>
  <c r="W237" i="1"/>
  <c r="S237" i="1"/>
  <c r="R237" i="1"/>
  <c r="Q237" i="1"/>
  <c r="O237" i="1"/>
  <c r="K237" i="1"/>
  <c r="M237" i="1" s="1"/>
  <c r="I237" i="1"/>
  <c r="G237" i="1"/>
  <c r="E237" i="1"/>
  <c r="C237" i="1"/>
  <c r="B237" i="1"/>
  <c r="A237" i="1"/>
  <c r="AA236" i="1"/>
  <c r="Y236" i="1"/>
  <c r="W236" i="1"/>
  <c r="U236" i="1"/>
  <c r="S236" i="1"/>
  <c r="R236" i="1"/>
  <c r="O236" i="1"/>
  <c r="Q236" i="1" s="1"/>
  <c r="M236" i="1"/>
  <c r="K236" i="1"/>
  <c r="I236" i="1"/>
  <c r="G236" i="1"/>
  <c r="T236" i="1" s="1"/>
  <c r="E236" i="1"/>
  <c r="C236" i="1"/>
  <c r="B236" i="1"/>
  <c r="A236" i="1"/>
  <c r="AA235" i="1"/>
  <c r="Y235" i="1"/>
  <c r="W235" i="1"/>
  <c r="R235" i="1"/>
  <c r="S235" i="1" s="1"/>
  <c r="O235" i="1"/>
  <c r="Q235" i="1" s="1"/>
  <c r="K235" i="1"/>
  <c r="M235" i="1" s="1"/>
  <c r="I235" i="1"/>
  <c r="G235" i="1"/>
  <c r="E235" i="1"/>
  <c r="C235" i="1"/>
  <c r="B235" i="1"/>
  <c r="A235" i="1"/>
  <c r="AA234" i="1"/>
  <c r="Y234" i="1"/>
  <c r="W234" i="1"/>
  <c r="R234" i="1"/>
  <c r="S234" i="1" s="1"/>
  <c r="O234" i="1"/>
  <c r="Q234" i="1" s="1"/>
  <c r="M234" i="1"/>
  <c r="K234" i="1"/>
  <c r="I234" i="1"/>
  <c r="G234" i="1"/>
  <c r="E234" i="1"/>
  <c r="C234" i="1"/>
  <c r="B234" i="1"/>
  <c r="A234" i="1"/>
  <c r="AA233" i="1"/>
  <c r="Y233" i="1"/>
  <c r="W233" i="1"/>
  <c r="R233" i="1"/>
  <c r="S233" i="1" s="1"/>
  <c r="Q233" i="1"/>
  <c r="O233" i="1"/>
  <c r="M233" i="1"/>
  <c r="K233" i="1"/>
  <c r="G233" i="1"/>
  <c r="I233" i="1" s="1"/>
  <c r="E233" i="1"/>
  <c r="C233" i="1"/>
  <c r="B233" i="1"/>
  <c r="A233" i="1"/>
  <c r="AA232" i="1"/>
  <c r="Y232" i="1"/>
  <c r="W232" i="1"/>
  <c r="R232" i="1"/>
  <c r="S232" i="1" s="1"/>
  <c r="Q232" i="1"/>
  <c r="O232" i="1"/>
  <c r="K232" i="1"/>
  <c r="M232" i="1" s="1"/>
  <c r="G232" i="1"/>
  <c r="E232" i="1"/>
  <c r="C232" i="1"/>
  <c r="B232" i="1"/>
  <c r="A232" i="1"/>
  <c r="AA231" i="1"/>
  <c r="Y231" i="1"/>
  <c r="W231" i="1"/>
  <c r="S231" i="1"/>
  <c r="R231" i="1"/>
  <c r="O231" i="1"/>
  <c r="Q231" i="1" s="1"/>
  <c r="K231" i="1"/>
  <c r="M231" i="1" s="1"/>
  <c r="I231" i="1"/>
  <c r="G231" i="1"/>
  <c r="T231" i="1" s="1"/>
  <c r="E231" i="1"/>
  <c r="C231" i="1"/>
  <c r="B231" i="1"/>
  <c r="A231" i="1"/>
  <c r="AA230" i="1"/>
  <c r="Y230" i="1"/>
  <c r="W230" i="1"/>
  <c r="R230" i="1"/>
  <c r="S230" i="1" s="1"/>
  <c r="O230" i="1"/>
  <c r="Q230" i="1" s="1"/>
  <c r="M230" i="1"/>
  <c r="K230" i="1"/>
  <c r="I230" i="1"/>
  <c r="G230" i="1"/>
  <c r="E230" i="1"/>
  <c r="C230" i="1"/>
  <c r="B230" i="1"/>
  <c r="A230" i="1"/>
  <c r="AA229" i="1"/>
  <c r="Y229" i="1"/>
  <c r="W229" i="1"/>
  <c r="R229" i="1"/>
  <c r="S229" i="1" s="1"/>
  <c r="Q229" i="1"/>
  <c r="O229" i="1"/>
  <c r="M229" i="1"/>
  <c r="K229" i="1"/>
  <c r="G229" i="1"/>
  <c r="I229" i="1" s="1"/>
  <c r="E229" i="1"/>
  <c r="C229" i="1"/>
  <c r="B229" i="1"/>
  <c r="A229" i="1"/>
  <c r="AA228" i="1"/>
  <c r="Y228" i="1"/>
  <c r="W228" i="1"/>
  <c r="R228" i="1"/>
  <c r="S228" i="1" s="1"/>
  <c r="Q228" i="1"/>
  <c r="O228" i="1"/>
  <c r="K228" i="1"/>
  <c r="M228" i="1" s="1"/>
  <c r="G228" i="1"/>
  <c r="E228" i="1"/>
  <c r="C228" i="1"/>
  <c r="B228" i="1"/>
  <c r="A228" i="1"/>
  <c r="AA227" i="1"/>
  <c r="Y227" i="1"/>
  <c r="W227" i="1"/>
  <c r="S227" i="1"/>
  <c r="R227" i="1"/>
  <c r="O227" i="1"/>
  <c r="Q227" i="1" s="1"/>
  <c r="K227" i="1"/>
  <c r="M227" i="1" s="1"/>
  <c r="G227" i="1"/>
  <c r="E227" i="1"/>
  <c r="C227" i="1"/>
  <c r="B227" i="1"/>
  <c r="A227" i="1"/>
  <c r="AA226" i="1"/>
  <c r="Y226" i="1"/>
  <c r="W226" i="1"/>
  <c r="R226" i="1"/>
  <c r="S226" i="1" s="1"/>
  <c r="O226" i="1"/>
  <c r="Q226" i="1" s="1"/>
  <c r="M226" i="1"/>
  <c r="K226" i="1"/>
  <c r="I226" i="1"/>
  <c r="G226" i="1"/>
  <c r="E226" i="1"/>
  <c r="C226" i="1"/>
  <c r="B226" i="1"/>
  <c r="A226" i="1"/>
  <c r="AA225" i="1"/>
  <c r="Y225" i="1"/>
  <c r="W225" i="1"/>
  <c r="R225" i="1"/>
  <c r="S225" i="1" s="1"/>
  <c r="Q225" i="1"/>
  <c r="O225" i="1"/>
  <c r="M225" i="1"/>
  <c r="K225" i="1"/>
  <c r="G225" i="1"/>
  <c r="I225" i="1" s="1"/>
  <c r="E225" i="1"/>
  <c r="C225" i="1"/>
  <c r="B225" i="1"/>
  <c r="A225" i="1"/>
  <c r="AA224" i="1"/>
  <c r="Y224" i="1"/>
  <c r="W224" i="1"/>
  <c r="R224" i="1"/>
  <c r="S224" i="1" s="1"/>
  <c r="Q224" i="1"/>
  <c r="O224" i="1"/>
  <c r="K224" i="1"/>
  <c r="M224" i="1" s="1"/>
  <c r="G224" i="1"/>
  <c r="E224" i="1"/>
  <c r="C224" i="1"/>
  <c r="B224" i="1"/>
  <c r="A224" i="1"/>
  <c r="AA223" i="1"/>
  <c r="Y223" i="1"/>
  <c r="W223" i="1"/>
  <c r="S223" i="1"/>
  <c r="R223" i="1"/>
  <c r="O223" i="1"/>
  <c r="Q223" i="1" s="1"/>
  <c r="K223" i="1"/>
  <c r="M223" i="1" s="1"/>
  <c r="G223" i="1"/>
  <c r="E223" i="1"/>
  <c r="C223" i="1"/>
  <c r="B223" i="1"/>
  <c r="A223" i="1"/>
  <c r="AA222" i="1"/>
  <c r="Y222" i="1"/>
  <c r="W222" i="1"/>
  <c r="T222" i="1"/>
  <c r="R222" i="1"/>
  <c r="S222" i="1" s="1"/>
  <c r="O222" i="1"/>
  <c r="Q222" i="1" s="1"/>
  <c r="K222" i="1"/>
  <c r="M222" i="1" s="1"/>
  <c r="I222" i="1"/>
  <c r="G222" i="1"/>
  <c r="E222" i="1"/>
  <c r="C222" i="1"/>
  <c r="B222" i="1"/>
  <c r="A222" i="1"/>
  <c r="AA221" i="1"/>
  <c r="Y221" i="1"/>
  <c r="W221" i="1"/>
  <c r="R221" i="1"/>
  <c r="S221" i="1" s="1"/>
  <c r="Q221" i="1"/>
  <c r="O221" i="1"/>
  <c r="K221" i="1"/>
  <c r="M221" i="1" s="1"/>
  <c r="G221" i="1"/>
  <c r="E221" i="1"/>
  <c r="C221" i="1"/>
  <c r="B221" i="1"/>
  <c r="A221" i="1"/>
  <c r="AA220" i="1"/>
  <c r="Y220" i="1"/>
  <c r="W220" i="1"/>
  <c r="R220" i="1"/>
  <c r="S220" i="1" s="1"/>
  <c r="Q220" i="1"/>
  <c r="O220" i="1"/>
  <c r="K220" i="1"/>
  <c r="M220" i="1" s="1"/>
  <c r="G220" i="1"/>
  <c r="E220" i="1"/>
  <c r="C220" i="1"/>
  <c r="B220" i="1"/>
  <c r="A220" i="1"/>
  <c r="AA219" i="1"/>
  <c r="Y219" i="1"/>
  <c r="W219" i="1"/>
  <c r="S219" i="1"/>
  <c r="R219" i="1"/>
  <c r="O219" i="1"/>
  <c r="Q219" i="1" s="1"/>
  <c r="K219" i="1"/>
  <c r="M219" i="1" s="1"/>
  <c r="G219" i="1"/>
  <c r="I219" i="1" s="1"/>
  <c r="E219" i="1"/>
  <c r="C219" i="1"/>
  <c r="B219" i="1"/>
  <c r="A219" i="1"/>
  <c r="AA218" i="1"/>
  <c r="Y218" i="1"/>
  <c r="W218" i="1"/>
  <c r="R218" i="1"/>
  <c r="S218" i="1" s="1"/>
  <c r="O218" i="1"/>
  <c r="Q218" i="1" s="1"/>
  <c r="M218" i="1"/>
  <c r="K218" i="1"/>
  <c r="I218" i="1"/>
  <c r="G218" i="1"/>
  <c r="E218" i="1"/>
  <c r="C218" i="1"/>
  <c r="B218" i="1"/>
  <c r="A218" i="1"/>
  <c r="AD217" i="1"/>
  <c r="AA217" i="1"/>
  <c r="Y217" i="1"/>
  <c r="W217" i="1"/>
  <c r="R217" i="1"/>
  <c r="S217" i="1" s="1"/>
  <c r="O217" i="1"/>
  <c r="Q217" i="1" s="1"/>
  <c r="K217" i="1"/>
  <c r="T217" i="1" s="1"/>
  <c r="U217" i="1" s="1"/>
  <c r="G217" i="1"/>
  <c r="I217" i="1" s="1"/>
  <c r="E217" i="1"/>
  <c r="C217" i="1"/>
  <c r="B217" i="1"/>
  <c r="A217" i="1"/>
  <c r="AA216" i="1"/>
  <c r="Y216" i="1"/>
  <c r="W216" i="1"/>
  <c r="R216" i="1"/>
  <c r="S216" i="1" s="1"/>
  <c r="Q216" i="1"/>
  <c r="O216" i="1"/>
  <c r="K216" i="1"/>
  <c r="M216" i="1" s="1"/>
  <c r="G216" i="1"/>
  <c r="E216" i="1"/>
  <c r="C216" i="1"/>
  <c r="B216" i="1"/>
  <c r="A216" i="1"/>
  <c r="AA215" i="1"/>
  <c r="Y215" i="1"/>
  <c r="W215" i="1"/>
  <c r="R215" i="1"/>
  <c r="S215" i="1" s="1"/>
  <c r="O215" i="1"/>
  <c r="Q215" i="1" s="1"/>
  <c r="K215" i="1"/>
  <c r="M215" i="1" s="1"/>
  <c r="G215" i="1"/>
  <c r="E215" i="1"/>
  <c r="C215" i="1"/>
  <c r="B215" i="1"/>
  <c r="A215" i="1"/>
  <c r="AA214" i="1"/>
  <c r="Y214" i="1"/>
  <c r="W214" i="1"/>
  <c r="R214" i="1"/>
  <c r="S214" i="1" s="1"/>
  <c r="O214" i="1"/>
  <c r="Q214" i="1" s="1"/>
  <c r="K214" i="1"/>
  <c r="M214" i="1" s="1"/>
  <c r="I214" i="1"/>
  <c r="G214" i="1"/>
  <c r="E214" i="1"/>
  <c r="C214" i="1"/>
  <c r="B214" i="1"/>
  <c r="A214" i="1"/>
  <c r="AA213" i="1"/>
  <c r="Y213" i="1"/>
  <c r="W213" i="1"/>
  <c r="T213" i="1"/>
  <c r="R213" i="1"/>
  <c r="S213" i="1" s="1"/>
  <c r="Q213" i="1"/>
  <c r="O213" i="1"/>
  <c r="K213" i="1"/>
  <c r="M213" i="1" s="1"/>
  <c r="G213" i="1"/>
  <c r="I213" i="1" s="1"/>
  <c r="E213" i="1"/>
  <c r="C213" i="1"/>
  <c r="B213" i="1"/>
  <c r="A213" i="1"/>
  <c r="AA212" i="1"/>
  <c r="Y212" i="1"/>
  <c r="W212" i="1"/>
  <c r="R212" i="1"/>
  <c r="S212" i="1" s="1"/>
  <c r="Q212" i="1"/>
  <c r="O212" i="1"/>
  <c r="K212" i="1"/>
  <c r="M212" i="1" s="1"/>
  <c r="G212" i="1"/>
  <c r="I212" i="1" s="1"/>
  <c r="E212" i="1"/>
  <c r="C212" i="1"/>
  <c r="B212" i="1"/>
  <c r="A212" i="1"/>
  <c r="AA211" i="1"/>
  <c r="Y211" i="1"/>
  <c r="W211" i="1"/>
  <c r="R211" i="1"/>
  <c r="S211" i="1" s="1"/>
  <c r="O211" i="1"/>
  <c r="K211" i="1"/>
  <c r="M211" i="1" s="1"/>
  <c r="G211" i="1"/>
  <c r="I211" i="1" s="1"/>
  <c r="E211" i="1"/>
  <c r="C211" i="1"/>
  <c r="B211" i="1"/>
  <c r="A211" i="1"/>
  <c r="AA210" i="1"/>
  <c r="Y210" i="1"/>
  <c r="W210" i="1"/>
  <c r="T210" i="1"/>
  <c r="R210" i="1"/>
  <c r="S210" i="1" s="1"/>
  <c r="O210" i="1"/>
  <c r="Q210" i="1" s="1"/>
  <c r="K210" i="1"/>
  <c r="M210" i="1" s="1"/>
  <c r="I210" i="1"/>
  <c r="G210" i="1"/>
  <c r="E210" i="1"/>
  <c r="C210" i="1"/>
  <c r="B210" i="1"/>
  <c r="A210" i="1"/>
  <c r="AA209" i="1"/>
  <c r="Y209" i="1"/>
  <c r="W209" i="1"/>
  <c r="R209" i="1"/>
  <c r="S209" i="1" s="1"/>
  <c r="O209" i="1"/>
  <c r="Q209" i="1" s="1"/>
  <c r="M209" i="1"/>
  <c r="K209" i="1"/>
  <c r="G209" i="1"/>
  <c r="I209" i="1" s="1"/>
  <c r="E209" i="1"/>
  <c r="C209" i="1"/>
  <c r="B209" i="1"/>
  <c r="A209" i="1"/>
  <c r="AA208" i="1"/>
  <c r="Y208" i="1"/>
  <c r="W208" i="1"/>
  <c r="R208" i="1"/>
  <c r="S208" i="1" s="1"/>
  <c r="Q208" i="1"/>
  <c r="O208" i="1"/>
  <c r="K208" i="1"/>
  <c r="M208" i="1" s="1"/>
  <c r="G208" i="1"/>
  <c r="E208" i="1"/>
  <c r="C208" i="1"/>
  <c r="B208" i="1"/>
  <c r="A208" i="1"/>
  <c r="AA207" i="1"/>
  <c r="Y207" i="1"/>
  <c r="W207" i="1"/>
  <c r="U207" i="1"/>
  <c r="R207" i="1"/>
  <c r="S207" i="1" s="1"/>
  <c r="O207" i="1"/>
  <c r="Q207" i="1" s="1"/>
  <c r="K207" i="1"/>
  <c r="M207" i="1" s="1"/>
  <c r="I207" i="1"/>
  <c r="G207" i="1"/>
  <c r="T207" i="1" s="1"/>
  <c r="AD207" i="1" s="1"/>
  <c r="E207" i="1"/>
  <c r="C207" i="1"/>
  <c r="B207" i="1"/>
  <c r="A207" i="1"/>
  <c r="AA206" i="1"/>
  <c r="Y206" i="1"/>
  <c r="W206" i="1"/>
  <c r="U206" i="1"/>
  <c r="T206" i="1"/>
  <c r="R206" i="1"/>
  <c r="S206" i="1" s="1"/>
  <c r="O206" i="1"/>
  <c r="Q206" i="1" s="1"/>
  <c r="K206" i="1"/>
  <c r="M206" i="1" s="1"/>
  <c r="G206" i="1"/>
  <c r="I206" i="1" s="1"/>
  <c r="E206" i="1"/>
  <c r="C206" i="1"/>
  <c r="B206" i="1"/>
  <c r="A206" i="1"/>
  <c r="AA205" i="1"/>
  <c r="Y205" i="1"/>
  <c r="W205" i="1"/>
  <c r="R205" i="1"/>
  <c r="S205" i="1" s="1"/>
  <c r="Q205" i="1"/>
  <c r="O205" i="1"/>
  <c r="K205" i="1"/>
  <c r="M205" i="1" s="1"/>
  <c r="G205" i="1"/>
  <c r="E205" i="1"/>
  <c r="C205" i="1"/>
  <c r="B205" i="1"/>
  <c r="A205" i="1"/>
  <c r="AA204" i="1"/>
  <c r="Y204" i="1"/>
  <c r="W204" i="1"/>
  <c r="S204" i="1"/>
  <c r="R204" i="1"/>
  <c r="Q204" i="1"/>
  <c r="O204" i="1"/>
  <c r="K204" i="1"/>
  <c r="M204" i="1" s="1"/>
  <c r="G204" i="1"/>
  <c r="I204" i="1" s="1"/>
  <c r="E204" i="1"/>
  <c r="C204" i="1"/>
  <c r="B204" i="1"/>
  <c r="A204" i="1"/>
  <c r="AA203" i="1"/>
  <c r="Y203" i="1"/>
  <c r="W203" i="1"/>
  <c r="U203" i="1"/>
  <c r="T203" i="1"/>
  <c r="AD203" i="1" s="1"/>
  <c r="S203" i="1"/>
  <c r="R203" i="1"/>
  <c r="O203" i="1"/>
  <c r="Q203" i="1" s="1"/>
  <c r="K203" i="1"/>
  <c r="M203" i="1" s="1"/>
  <c r="G203" i="1"/>
  <c r="I203" i="1" s="1"/>
  <c r="E203" i="1"/>
  <c r="C203" i="1"/>
  <c r="B203" i="1"/>
  <c r="A203" i="1"/>
  <c r="AA202" i="1"/>
  <c r="Y202" i="1"/>
  <c r="W202" i="1"/>
  <c r="R202" i="1"/>
  <c r="S202" i="1" s="1"/>
  <c r="O202" i="1"/>
  <c r="Q202" i="1" s="1"/>
  <c r="K202" i="1"/>
  <c r="M202" i="1" s="1"/>
  <c r="I202" i="1"/>
  <c r="G202" i="1"/>
  <c r="E202" i="1"/>
  <c r="C202" i="1"/>
  <c r="B202" i="1"/>
  <c r="A202" i="1"/>
  <c r="AA201" i="1"/>
  <c r="Y201" i="1"/>
  <c r="W201" i="1"/>
  <c r="R201" i="1"/>
  <c r="S201" i="1" s="1"/>
  <c r="O201" i="1"/>
  <c r="Q201" i="1" s="1"/>
  <c r="M201" i="1"/>
  <c r="K201" i="1"/>
  <c r="G201" i="1"/>
  <c r="I201" i="1" s="1"/>
  <c r="E201" i="1"/>
  <c r="C201" i="1"/>
  <c r="B201" i="1"/>
  <c r="A201" i="1"/>
  <c r="AA200" i="1"/>
  <c r="Y200" i="1"/>
  <c r="W200" i="1"/>
  <c r="R200" i="1"/>
  <c r="S200" i="1" s="1"/>
  <c r="O200" i="1"/>
  <c r="Q200" i="1" s="1"/>
  <c r="K200" i="1"/>
  <c r="M200" i="1" s="1"/>
  <c r="G200" i="1"/>
  <c r="E200" i="1"/>
  <c r="C200" i="1"/>
  <c r="B200" i="1"/>
  <c r="A200" i="1"/>
  <c r="AA199" i="1"/>
  <c r="Y199" i="1"/>
  <c r="W199" i="1"/>
  <c r="R199" i="1"/>
  <c r="S199" i="1" s="1"/>
  <c r="O199" i="1"/>
  <c r="Q199" i="1" s="1"/>
  <c r="K199" i="1"/>
  <c r="M199" i="1" s="1"/>
  <c r="I199" i="1"/>
  <c r="G199" i="1"/>
  <c r="E199" i="1"/>
  <c r="C199" i="1"/>
  <c r="B199" i="1"/>
  <c r="A199" i="1"/>
  <c r="AA198" i="1"/>
  <c r="Y198" i="1"/>
  <c r="W198" i="1"/>
  <c r="R198" i="1"/>
  <c r="S198" i="1" s="1"/>
  <c r="O198" i="1"/>
  <c r="Q198" i="1" s="1"/>
  <c r="K198" i="1"/>
  <c r="M198" i="1" s="1"/>
  <c r="G198" i="1"/>
  <c r="E198" i="1"/>
  <c r="C198" i="1"/>
  <c r="B198" i="1"/>
  <c r="A198" i="1"/>
  <c r="AA197" i="1"/>
  <c r="Y197" i="1"/>
  <c r="W197" i="1"/>
  <c r="T197" i="1"/>
  <c r="R197" i="1"/>
  <c r="S197" i="1" s="1"/>
  <c r="Q197" i="1"/>
  <c r="O197" i="1"/>
  <c r="K197" i="1"/>
  <c r="M197" i="1" s="1"/>
  <c r="G197" i="1"/>
  <c r="I197" i="1" s="1"/>
  <c r="E197" i="1"/>
  <c r="C197" i="1"/>
  <c r="B197" i="1"/>
  <c r="A197" i="1"/>
  <c r="AA196" i="1"/>
  <c r="Y196" i="1"/>
  <c r="W196" i="1"/>
  <c r="T196" i="1"/>
  <c r="S196" i="1"/>
  <c r="R196" i="1"/>
  <c r="Q196" i="1"/>
  <c r="O196" i="1"/>
  <c r="K196" i="1"/>
  <c r="M196" i="1" s="1"/>
  <c r="G196" i="1"/>
  <c r="I196" i="1" s="1"/>
  <c r="E196" i="1"/>
  <c r="C196" i="1"/>
  <c r="B196" i="1"/>
  <c r="A196" i="1"/>
  <c r="AA195" i="1"/>
  <c r="Y195" i="1"/>
  <c r="W195" i="1"/>
  <c r="T195" i="1"/>
  <c r="S195" i="1"/>
  <c r="R195" i="1"/>
  <c r="O195" i="1"/>
  <c r="Q195" i="1" s="1"/>
  <c r="K195" i="1"/>
  <c r="M195" i="1" s="1"/>
  <c r="G195" i="1"/>
  <c r="I195" i="1" s="1"/>
  <c r="E195" i="1"/>
  <c r="C195" i="1"/>
  <c r="B195" i="1"/>
  <c r="A195" i="1"/>
  <c r="AA194" i="1"/>
  <c r="Y194" i="1"/>
  <c r="W194" i="1"/>
  <c r="R194" i="1"/>
  <c r="S194" i="1" s="1"/>
  <c r="O194" i="1"/>
  <c r="Q194" i="1" s="1"/>
  <c r="K194" i="1"/>
  <c r="I194" i="1"/>
  <c r="G194" i="1"/>
  <c r="E194" i="1"/>
  <c r="C194" i="1"/>
  <c r="B194" i="1"/>
  <c r="A194" i="1"/>
  <c r="AA193" i="1"/>
  <c r="Y193" i="1"/>
  <c r="W193" i="1"/>
  <c r="R193" i="1"/>
  <c r="S193" i="1" s="1"/>
  <c r="Q193" i="1"/>
  <c r="O193" i="1"/>
  <c r="K193" i="1"/>
  <c r="M193" i="1" s="1"/>
  <c r="G193" i="1"/>
  <c r="I193" i="1" s="1"/>
  <c r="E193" i="1"/>
  <c r="C193" i="1"/>
  <c r="B193" i="1"/>
  <c r="A193" i="1"/>
  <c r="AA192" i="1"/>
  <c r="Y192" i="1"/>
  <c r="W192" i="1"/>
  <c r="R192" i="1"/>
  <c r="S192" i="1" s="1"/>
  <c r="O192" i="1"/>
  <c r="Q192" i="1" s="1"/>
  <c r="K192" i="1"/>
  <c r="M192" i="1" s="1"/>
  <c r="G192" i="1"/>
  <c r="E192" i="1"/>
  <c r="C192" i="1"/>
  <c r="B192" i="1"/>
  <c r="A192" i="1"/>
  <c r="AA191" i="1"/>
  <c r="Y191" i="1"/>
  <c r="W191" i="1"/>
  <c r="R191" i="1"/>
  <c r="S191" i="1" s="1"/>
  <c r="O191" i="1"/>
  <c r="Q191" i="1" s="1"/>
  <c r="K191" i="1"/>
  <c r="M191" i="1" s="1"/>
  <c r="I191" i="1"/>
  <c r="G191" i="1"/>
  <c r="E191" i="1"/>
  <c r="C191" i="1"/>
  <c r="B191" i="1"/>
  <c r="A191" i="1"/>
  <c r="AA190" i="1"/>
  <c r="Y190" i="1"/>
  <c r="W190" i="1"/>
  <c r="T190" i="1"/>
  <c r="R190" i="1"/>
  <c r="S190" i="1" s="1"/>
  <c r="O190" i="1"/>
  <c r="Q190" i="1" s="1"/>
  <c r="K190" i="1"/>
  <c r="M190" i="1" s="1"/>
  <c r="I190" i="1"/>
  <c r="G190" i="1"/>
  <c r="E190" i="1"/>
  <c r="C190" i="1"/>
  <c r="B190" i="1"/>
  <c r="A190" i="1"/>
  <c r="AA189" i="1"/>
  <c r="Y189" i="1"/>
  <c r="W189" i="1"/>
  <c r="T189" i="1"/>
  <c r="R189" i="1"/>
  <c r="S189" i="1" s="1"/>
  <c r="Q189" i="1"/>
  <c r="O189" i="1"/>
  <c r="K189" i="1"/>
  <c r="M189" i="1" s="1"/>
  <c r="G189" i="1"/>
  <c r="I189" i="1" s="1"/>
  <c r="E189" i="1"/>
  <c r="C189" i="1"/>
  <c r="B189" i="1"/>
  <c r="A189" i="1"/>
  <c r="AA188" i="1"/>
  <c r="Y188" i="1"/>
  <c r="W188" i="1"/>
  <c r="S188" i="1"/>
  <c r="R188" i="1"/>
  <c r="O188" i="1"/>
  <c r="Q188" i="1" s="1"/>
  <c r="K188" i="1"/>
  <c r="I188" i="1"/>
  <c r="G188" i="1"/>
  <c r="E188" i="1"/>
  <c r="C188" i="1"/>
  <c r="B188" i="1"/>
  <c r="A188" i="1"/>
  <c r="AA187" i="1"/>
  <c r="Y187" i="1"/>
  <c r="W187" i="1"/>
  <c r="R187" i="1"/>
  <c r="S187" i="1" s="1"/>
  <c r="Q187" i="1"/>
  <c r="O187" i="1"/>
  <c r="K187" i="1"/>
  <c r="M187" i="1" s="1"/>
  <c r="I187" i="1"/>
  <c r="G187" i="1"/>
  <c r="E187" i="1"/>
  <c r="C187" i="1"/>
  <c r="B187" i="1"/>
  <c r="A187" i="1"/>
  <c r="AA186" i="1"/>
  <c r="Y186" i="1"/>
  <c r="W186" i="1"/>
  <c r="R186" i="1"/>
  <c r="S186" i="1" s="1"/>
  <c r="O186" i="1"/>
  <c r="Q186" i="1" s="1"/>
  <c r="M186" i="1"/>
  <c r="K186" i="1"/>
  <c r="G186" i="1"/>
  <c r="I186" i="1" s="1"/>
  <c r="E186" i="1"/>
  <c r="C186" i="1"/>
  <c r="B186" i="1"/>
  <c r="A186" i="1"/>
  <c r="AD185" i="1"/>
  <c r="AA185" i="1"/>
  <c r="Y185" i="1"/>
  <c r="W185" i="1"/>
  <c r="T185" i="1"/>
  <c r="R185" i="1"/>
  <c r="S185" i="1" s="1"/>
  <c r="Q185" i="1"/>
  <c r="O185" i="1"/>
  <c r="K185" i="1"/>
  <c r="M185" i="1" s="1"/>
  <c r="I185" i="1"/>
  <c r="G185" i="1"/>
  <c r="E185" i="1"/>
  <c r="C185" i="1"/>
  <c r="B185" i="1"/>
  <c r="A185" i="1"/>
  <c r="AA184" i="1"/>
  <c r="Y184" i="1"/>
  <c r="W184" i="1"/>
  <c r="S184" i="1"/>
  <c r="R184" i="1"/>
  <c r="O184" i="1"/>
  <c r="Q184" i="1" s="1"/>
  <c r="K184" i="1"/>
  <c r="I184" i="1"/>
  <c r="G184" i="1"/>
  <c r="E184" i="1"/>
  <c r="C184" i="1"/>
  <c r="B184" i="1"/>
  <c r="A184" i="1"/>
  <c r="AA183" i="1"/>
  <c r="Y183" i="1"/>
  <c r="W183" i="1"/>
  <c r="R183" i="1"/>
  <c r="S183" i="1" s="1"/>
  <c r="Q183" i="1"/>
  <c r="O183" i="1"/>
  <c r="K183" i="1"/>
  <c r="M183" i="1" s="1"/>
  <c r="I183" i="1"/>
  <c r="G183" i="1"/>
  <c r="E183" i="1"/>
  <c r="C183" i="1"/>
  <c r="B183" i="1"/>
  <c r="A183" i="1"/>
  <c r="AA182" i="1"/>
  <c r="Y182" i="1"/>
  <c r="W182" i="1"/>
  <c r="R182" i="1"/>
  <c r="S182" i="1" s="1"/>
  <c r="Q182" i="1"/>
  <c r="O182" i="1"/>
  <c r="M182" i="1"/>
  <c r="K182" i="1"/>
  <c r="G182" i="1"/>
  <c r="I182" i="1" s="1"/>
  <c r="E182" i="1"/>
  <c r="C182" i="1"/>
  <c r="B182" i="1"/>
  <c r="A182" i="1"/>
  <c r="AD181" i="1"/>
  <c r="AA181" i="1"/>
  <c r="Y181" i="1"/>
  <c r="W181" i="1"/>
  <c r="T181" i="1"/>
  <c r="S181" i="1"/>
  <c r="R181" i="1"/>
  <c r="Q181" i="1"/>
  <c r="O181" i="1"/>
  <c r="K181" i="1"/>
  <c r="M181" i="1" s="1"/>
  <c r="I181" i="1"/>
  <c r="G181" i="1"/>
  <c r="E181" i="1"/>
  <c r="C181" i="1"/>
  <c r="B181" i="1"/>
  <c r="A181" i="1"/>
  <c r="AA180" i="1"/>
  <c r="Y180" i="1"/>
  <c r="W180" i="1"/>
  <c r="S180" i="1"/>
  <c r="R180" i="1"/>
  <c r="O180" i="1"/>
  <c r="Q180" i="1" s="1"/>
  <c r="K180" i="1"/>
  <c r="I180" i="1"/>
  <c r="G180" i="1"/>
  <c r="E180" i="1"/>
  <c r="C180" i="1"/>
  <c r="B180" i="1"/>
  <c r="A180" i="1"/>
  <c r="AA179" i="1"/>
  <c r="Y179" i="1"/>
  <c r="W179" i="1"/>
  <c r="R179" i="1"/>
  <c r="S179" i="1" s="1"/>
  <c r="O179" i="1"/>
  <c r="Q179" i="1" s="1"/>
  <c r="K179" i="1"/>
  <c r="M179" i="1" s="1"/>
  <c r="I179" i="1"/>
  <c r="G179" i="1"/>
  <c r="E179" i="1"/>
  <c r="C179" i="1"/>
  <c r="B179" i="1"/>
  <c r="A179" i="1"/>
  <c r="AA178" i="1"/>
  <c r="Y178" i="1"/>
  <c r="W178" i="1"/>
  <c r="R178" i="1"/>
  <c r="S178" i="1" s="1"/>
  <c r="Q178" i="1"/>
  <c r="O178" i="1"/>
  <c r="M178" i="1"/>
  <c r="K178" i="1"/>
  <c r="G178" i="1"/>
  <c r="I178" i="1" s="1"/>
  <c r="E178" i="1"/>
  <c r="C178" i="1"/>
  <c r="B178" i="1"/>
  <c r="A178" i="1"/>
  <c r="AD177" i="1"/>
  <c r="AA177" i="1"/>
  <c r="Y177" i="1"/>
  <c r="W177" i="1"/>
  <c r="T177" i="1"/>
  <c r="R177" i="1"/>
  <c r="S177" i="1" s="1"/>
  <c r="Q177" i="1"/>
  <c r="O177" i="1"/>
  <c r="K177" i="1"/>
  <c r="M177" i="1" s="1"/>
  <c r="I177" i="1"/>
  <c r="G177" i="1"/>
  <c r="E177" i="1"/>
  <c r="C177" i="1"/>
  <c r="B177" i="1"/>
  <c r="A177" i="1"/>
  <c r="AA176" i="1"/>
  <c r="Y176" i="1"/>
  <c r="W176" i="1"/>
  <c r="S176" i="1"/>
  <c r="R176" i="1"/>
  <c r="O176" i="1"/>
  <c r="Q176" i="1" s="1"/>
  <c r="K176" i="1"/>
  <c r="I176" i="1"/>
  <c r="G176" i="1"/>
  <c r="E176" i="1"/>
  <c r="C176" i="1"/>
  <c r="B176" i="1"/>
  <c r="A176" i="1"/>
  <c r="AA175" i="1"/>
  <c r="Y175" i="1"/>
  <c r="W175" i="1"/>
  <c r="R175" i="1"/>
  <c r="S175" i="1" s="1"/>
  <c r="O175" i="1"/>
  <c r="Q175" i="1" s="1"/>
  <c r="K175" i="1"/>
  <c r="M175" i="1" s="1"/>
  <c r="I175" i="1"/>
  <c r="G175" i="1"/>
  <c r="E175" i="1"/>
  <c r="C175" i="1"/>
  <c r="B175" i="1"/>
  <c r="A175" i="1"/>
  <c r="AA174" i="1"/>
  <c r="Y174" i="1"/>
  <c r="W174" i="1"/>
  <c r="R174" i="1"/>
  <c r="S174" i="1" s="1"/>
  <c r="Q174" i="1"/>
  <c r="O174" i="1"/>
  <c r="M174" i="1"/>
  <c r="K174" i="1"/>
  <c r="G174" i="1"/>
  <c r="I174" i="1" s="1"/>
  <c r="E174" i="1"/>
  <c r="C174" i="1"/>
  <c r="B174" i="1"/>
  <c r="A174" i="1"/>
  <c r="AD173" i="1"/>
  <c r="AA173" i="1"/>
  <c r="Y173" i="1"/>
  <c r="W173" i="1"/>
  <c r="T173" i="1"/>
  <c r="S173" i="1"/>
  <c r="R173" i="1"/>
  <c r="Q173" i="1"/>
  <c r="O173" i="1"/>
  <c r="K173" i="1"/>
  <c r="M173" i="1" s="1"/>
  <c r="I173" i="1"/>
  <c r="G173" i="1"/>
  <c r="E173" i="1"/>
  <c r="C173" i="1"/>
  <c r="B173" i="1"/>
  <c r="A173" i="1"/>
  <c r="AA172" i="1"/>
  <c r="Y172" i="1"/>
  <c r="W172" i="1"/>
  <c r="S172" i="1"/>
  <c r="R172" i="1"/>
  <c r="Q172" i="1"/>
  <c r="O172" i="1"/>
  <c r="M172" i="1"/>
  <c r="K172" i="1"/>
  <c r="G172" i="1"/>
  <c r="I172" i="1" s="1"/>
  <c r="E172" i="1"/>
  <c r="C172" i="1"/>
  <c r="B172" i="1"/>
  <c r="A172" i="1"/>
  <c r="AA171" i="1"/>
  <c r="Y171" i="1"/>
  <c r="W171" i="1"/>
  <c r="R171" i="1"/>
  <c r="S171" i="1" s="1"/>
  <c r="Q171" i="1"/>
  <c r="O171" i="1"/>
  <c r="M171" i="1"/>
  <c r="K171" i="1"/>
  <c r="I171" i="1"/>
  <c r="G171" i="1"/>
  <c r="E171" i="1"/>
  <c r="C171" i="1"/>
  <c r="B171" i="1"/>
  <c r="A171" i="1"/>
  <c r="AA170" i="1"/>
  <c r="Y170" i="1"/>
  <c r="W170" i="1"/>
  <c r="R170" i="1"/>
  <c r="S170" i="1" s="1"/>
  <c r="Q170" i="1"/>
  <c r="O170" i="1"/>
  <c r="M170" i="1"/>
  <c r="K170" i="1"/>
  <c r="G170" i="1"/>
  <c r="I170" i="1" s="1"/>
  <c r="E170" i="1"/>
  <c r="C170" i="1"/>
  <c r="B170" i="1"/>
  <c r="A170" i="1"/>
  <c r="AA169" i="1"/>
  <c r="Y169" i="1"/>
  <c r="W169" i="1"/>
  <c r="T169" i="1"/>
  <c r="S169" i="1"/>
  <c r="R169" i="1"/>
  <c r="Q169" i="1"/>
  <c r="O169" i="1"/>
  <c r="K169" i="1"/>
  <c r="M169" i="1" s="1"/>
  <c r="G169" i="1"/>
  <c r="I169" i="1" s="1"/>
  <c r="E169" i="1"/>
  <c r="C169" i="1"/>
  <c r="B169" i="1"/>
  <c r="A169" i="1"/>
  <c r="AA168" i="1"/>
  <c r="Y168" i="1"/>
  <c r="W168" i="1"/>
  <c r="T168" i="1"/>
  <c r="S168" i="1"/>
  <c r="R168" i="1"/>
  <c r="O168" i="1"/>
  <c r="Q168" i="1" s="1"/>
  <c r="M168" i="1"/>
  <c r="K168" i="1"/>
  <c r="G168" i="1"/>
  <c r="I168" i="1" s="1"/>
  <c r="E168" i="1"/>
  <c r="C168" i="1"/>
  <c r="B168" i="1"/>
  <c r="A168" i="1"/>
  <c r="AA167" i="1"/>
  <c r="Y167" i="1"/>
  <c r="W167" i="1"/>
  <c r="R167" i="1"/>
  <c r="S167" i="1" s="1"/>
  <c r="Q167" i="1"/>
  <c r="O167" i="1"/>
  <c r="M167" i="1"/>
  <c r="K167" i="1"/>
  <c r="I167" i="1"/>
  <c r="G167" i="1"/>
  <c r="E167" i="1"/>
  <c r="C167" i="1"/>
  <c r="B167" i="1"/>
  <c r="A167" i="1"/>
  <c r="AA166" i="1"/>
  <c r="Y166" i="1"/>
  <c r="W166" i="1"/>
  <c r="S166" i="1"/>
  <c r="R166" i="1"/>
  <c r="Q166" i="1"/>
  <c r="O166" i="1"/>
  <c r="M166" i="1"/>
  <c r="K166" i="1"/>
  <c r="G166" i="1"/>
  <c r="I166" i="1" s="1"/>
  <c r="E166" i="1"/>
  <c r="C166" i="1"/>
  <c r="B166" i="1"/>
  <c r="A166" i="1"/>
  <c r="AA165" i="1"/>
  <c r="Y165" i="1"/>
  <c r="W165" i="1"/>
  <c r="T165" i="1"/>
  <c r="S165" i="1"/>
  <c r="R165" i="1"/>
  <c r="Q165" i="1"/>
  <c r="O165" i="1"/>
  <c r="K165" i="1"/>
  <c r="M165" i="1" s="1"/>
  <c r="G165" i="1"/>
  <c r="I165" i="1" s="1"/>
  <c r="E165" i="1"/>
  <c r="C165" i="1"/>
  <c r="B165" i="1"/>
  <c r="A165" i="1"/>
  <c r="AA164" i="1"/>
  <c r="Y164" i="1"/>
  <c r="W164" i="1"/>
  <c r="T164" i="1"/>
  <c r="S164" i="1"/>
  <c r="R164" i="1"/>
  <c r="O164" i="1"/>
  <c r="Q164" i="1" s="1"/>
  <c r="M164" i="1"/>
  <c r="K164" i="1"/>
  <c r="G164" i="1"/>
  <c r="I164" i="1" s="1"/>
  <c r="E164" i="1"/>
  <c r="C164" i="1"/>
  <c r="B164" i="1"/>
  <c r="A164" i="1"/>
  <c r="AA163" i="1"/>
  <c r="Y163" i="1"/>
  <c r="W163" i="1"/>
  <c r="R163" i="1"/>
  <c r="S163" i="1" s="1"/>
  <c r="Q163" i="1"/>
  <c r="O163" i="1"/>
  <c r="M163" i="1"/>
  <c r="K163" i="1"/>
  <c r="I163" i="1"/>
  <c r="G163" i="1"/>
  <c r="E163" i="1"/>
  <c r="C163" i="1"/>
  <c r="B163" i="1"/>
  <c r="A163" i="1"/>
  <c r="AA162" i="1"/>
  <c r="Y162" i="1"/>
  <c r="W162" i="1"/>
  <c r="S162" i="1"/>
  <c r="R162" i="1"/>
  <c r="Q162" i="1"/>
  <c r="O162" i="1"/>
  <c r="M162" i="1"/>
  <c r="K162" i="1"/>
  <c r="G162" i="1"/>
  <c r="I162" i="1" s="1"/>
  <c r="E162" i="1"/>
  <c r="C162" i="1"/>
  <c r="B162" i="1"/>
  <c r="A162" i="1"/>
  <c r="AA161" i="1"/>
  <c r="Y161" i="1"/>
  <c r="W161" i="1"/>
  <c r="T161" i="1"/>
  <c r="S161" i="1"/>
  <c r="R161" i="1"/>
  <c r="Q161" i="1"/>
  <c r="O161" i="1"/>
  <c r="K161" i="1"/>
  <c r="M161" i="1" s="1"/>
  <c r="G161" i="1"/>
  <c r="I161" i="1" s="1"/>
  <c r="E161" i="1"/>
  <c r="C161" i="1"/>
  <c r="B161" i="1"/>
  <c r="A161" i="1"/>
  <c r="AA160" i="1"/>
  <c r="Y160" i="1"/>
  <c r="W160" i="1"/>
  <c r="T160" i="1"/>
  <c r="S160" i="1"/>
  <c r="R160" i="1"/>
  <c r="O160" i="1"/>
  <c r="Q160" i="1" s="1"/>
  <c r="M160" i="1"/>
  <c r="K160" i="1"/>
  <c r="G160" i="1"/>
  <c r="I160" i="1" s="1"/>
  <c r="E160" i="1"/>
  <c r="C160" i="1"/>
  <c r="B160" i="1"/>
  <c r="A160" i="1"/>
  <c r="AA159" i="1"/>
  <c r="Y159" i="1"/>
  <c r="W159" i="1"/>
  <c r="R159" i="1"/>
  <c r="S159" i="1" s="1"/>
  <c r="Q159" i="1"/>
  <c r="O159" i="1"/>
  <c r="M159" i="1"/>
  <c r="K159" i="1"/>
  <c r="I159" i="1"/>
  <c r="G159" i="1"/>
  <c r="E159" i="1"/>
  <c r="C159" i="1"/>
  <c r="B159" i="1"/>
  <c r="A159" i="1"/>
  <c r="AA158" i="1"/>
  <c r="Y158" i="1"/>
  <c r="W158" i="1"/>
  <c r="R158" i="1"/>
  <c r="S158" i="1" s="1"/>
  <c r="Q158" i="1"/>
  <c r="O158" i="1"/>
  <c r="M158" i="1"/>
  <c r="K158" i="1"/>
  <c r="G158" i="1"/>
  <c r="I158" i="1" s="1"/>
  <c r="E158" i="1"/>
  <c r="C158" i="1"/>
  <c r="B158" i="1"/>
  <c r="A158" i="1"/>
  <c r="AA157" i="1"/>
  <c r="Y157" i="1"/>
  <c r="W157" i="1"/>
  <c r="T157" i="1"/>
  <c r="R157" i="1"/>
  <c r="S157" i="1" s="1"/>
  <c r="Q157" i="1"/>
  <c r="O157" i="1"/>
  <c r="K157" i="1"/>
  <c r="M157" i="1" s="1"/>
  <c r="G157" i="1"/>
  <c r="I157" i="1" s="1"/>
  <c r="E157" i="1"/>
  <c r="C157" i="1"/>
  <c r="B157" i="1"/>
  <c r="A157" i="1"/>
  <c r="AA156" i="1"/>
  <c r="Y156" i="1"/>
  <c r="W156" i="1"/>
  <c r="T156" i="1"/>
  <c r="S156" i="1"/>
  <c r="R156" i="1"/>
  <c r="O156" i="1"/>
  <c r="Q156" i="1" s="1"/>
  <c r="M156" i="1"/>
  <c r="K156" i="1"/>
  <c r="G156" i="1"/>
  <c r="I156" i="1" s="1"/>
  <c r="E156" i="1"/>
  <c r="C156" i="1"/>
  <c r="B156" i="1"/>
  <c r="A156" i="1"/>
  <c r="AD155" i="1"/>
  <c r="AA155" i="1"/>
  <c r="Y155" i="1"/>
  <c r="W155" i="1"/>
  <c r="R155" i="1"/>
  <c r="S155" i="1" s="1"/>
  <c r="U155" i="1" s="1"/>
  <c r="Q155" i="1"/>
  <c r="O155" i="1"/>
  <c r="M155" i="1"/>
  <c r="K155" i="1"/>
  <c r="I155" i="1"/>
  <c r="G155" i="1"/>
  <c r="T155" i="1" s="1"/>
  <c r="E155" i="1"/>
  <c r="C155" i="1"/>
  <c r="B155" i="1"/>
  <c r="A155" i="1"/>
  <c r="AA154" i="1"/>
  <c r="Y154" i="1"/>
  <c r="W154" i="1"/>
  <c r="R154" i="1"/>
  <c r="S154" i="1" s="1"/>
  <c r="Q154" i="1"/>
  <c r="O154" i="1"/>
  <c r="M154" i="1"/>
  <c r="K154" i="1"/>
  <c r="G154" i="1"/>
  <c r="I154" i="1" s="1"/>
  <c r="E154" i="1"/>
  <c r="C154" i="1"/>
  <c r="B154" i="1"/>
  <c r="A154" i="1"/>
  <c r="AA153" i="1"/>
  <c r="Y153" i="1"/>
  <c r="W153" i="1"/>
  <c r="T153" i="1"/>
  <c r="S153" i="1"/>
  <c r="R153" i="1"/>
  <c r="Q153" i="1"/>
  <c r="O153" i="1"/>
  <c r="M153" i="1"/>
  <c r="K153" i="1"/>
  <c r="G153" i="1"/>
  <c r="I153" i="1" s="1"/>
  <c r="E153" i="1"/>
  <c r="C153" i="1"/>
  <c r="B153" i="1"/>
  <c r="A153" i="1"/>
  <c r="AA152" i="1"/>
  <c r="Y152" i="1"/>
  <c r="W152" i="1"/>
  <c r="T152" i="1"/>
  <c r="AD152" i="1" s="1"/>
  <c r="S152" i="1"/>
  <c r="R152" i="1"/>
  <c r="O152" i="1"/>
  <c r="Q152" i="1" s="1"/>
  <c r="K152" i="1"/>
  <c r="M152" i="1" s="1"/>
  <c r="G152" i="1"/>
  <c r="I152" i="1" s="1"/>
  <c r="E152" i="1"/>
  <c r="C152" i="1"/>
  <c r="B152" i="1"/>
  <c r="A152" i="1"/>
  <c r="AA151" i="1"/>
  <c r="Y151" i="1"/>
  <c r="W151" i="1"/>
  <c r="R151" i="1"/>
  <c r="S151" i="1" s="1"/>
  <c r="O151" i="1"/>
  <c r="Q151" i="1" s="1"/>
  <c r="K151" i="1"/>
  <c r="M151" i="1" s="1"/>
  <c r="I151" i="1"/>
  <c r="G151" i="1"/>
  <c r="E151" i="1"/>
  <c r="C151" i="1"/>
  <c r="B151" i="1"/>
  <c r="A151" i="1"/>
  <c r="AA150" i="1"/>
  <c r="Y150" i="1"/>
  <c r="W150" i="1"/>
  <c r="R150" i="1"/>
  <c r="S150" i="1" s="1"/>
  <c r="O150" i="1"/>
  <c r="Q150" i="1" s="1"/>
  <c r="M150" i="1"/>
  <c r="K150" i="1"/>
  <c r="G150" i="1"/>
  <c r="I150" i="1" s="1"/>
  <c r="E150" i="1"/>
  <c r="C150" i="1"/>
  <c r="B150" i="1"/>
  <c r="A150" i="1"/>
  <c r="AA149" i="1"/>
  <c r="Y149" i="1"/>
  <c r="W149" i="1"/>
  <c r="S149" i="1"/>
  <c r="R149" i="1"/>
  <c r="Q149" i="1"/>
  <c r="O149" i="1"/>
  <c r="K149" i="1"/>
  <c r="M149" i="1" s="1"/>
  <c r="G149" i="1"/>
  <c r="E149" i="1"/>
  <c r="C149" i="1"/>
  <c r="B149" i="1"/>
  <c r="A149" i="1"/>
  <c r="AA148" i="1"/>
  <c r="Y148" i="1"/>
  <c r="W148" i="1"/>
  <c r="U148" i="1"/>
  <c r="T148" i="1"/>
  <c r="AD148" i="1" s="1"/>
  <c r="S148" i="1"/>
  <c r="R148" i="1"/>
  <c r="Q148" i="1"/>
  <c r="O148" i="1"/>
  <c r="K148" i="1"/>
  <c r="M148" i="1" s="1"/>
  <c r="G148" i="1"/>
  <c r="I148" i="1" s="1"/>
  <c r="E148" i="1"/>
  <c r="C148" i="1"/>
  <c r="B148" i="1"/>
  <c r="A148" i="1"/>
  <c r="AA147" i="1"/>
  <c r="Y147" i="1"/>
  <c r="W147" i="1"/>
  <c r="U147" i="1"/>
  <c r="R147" i="1"/>
  <c r="S147" i="1" s="1"/>
  <c r="Q147" i="1"/>
  <c r="O147" i="1"/>
  <c r="K147" i="1"/>
  <c r="M147" i="1" s="1"/>
  <c r="I147" i="1"/>
  <c r="G147" i="1"/>
  <c r="T147" i="1" s="1"/>
  <c r="AD147" i="1" s="1"/>
  <c r="E147" i="1"/>
  <c r="C147" i="1"/>
  <c r="B147" i="1"/>
  <c r="A147" i="1"/>
  <c r="AA146" i="1"/>
  <c r="Y146" i="1"/>
  <c r="W146" i="1"/>
  <c r="S146" i="1"/>
  <c r="R146" i="1"/>
  <c r="Q146" i="1"/>
  <c r="O146" i="1"/>
  <c r="M146" i="1"/>
  <c r="K146" i="1"/>
  <c r="G146" i="1"/>
  <c r="E146" i="1"/>
  <c r="C146" i="1"/>
  <c r="B146" i="1"/>
  <c r="A146" i="1"/>
  <c r="AA145" i="1"/>
  <c r="Y145" i="1"/>
  <c r="W145" i="1"/>
  <c r="R145" i="1"/>
  <c r="S145" i="1" s="1"/>
  <c r="O145" i="1"/>
  <c r="Q145" i="1" s="1"/>
  <c r="K145" i="1"/>
  <c r="M145" i="1" s="1"/>
  <c r="G145" i="1"/>
  <c r="E145" i="1"/>
  <c r="C145" i="1"/>
  <c r="B145" i="1"/>
  <c r="A145" i="1"/>
  <c r="AA144" i="1"/>
  <c r="Y144" i="1"/>
  <c r="W144" i="1"/>
  <c r="U144" i="1"/>
  <c r="S144" i="1"/>
  <c r="R144" i="1"/>
  <c r="O144" i="1"/>
  <c r="Q144" i="1" s="1"/>
  <c r="M144" i="1"/>
  <c r="K144" i="1"/>
  <c r="I144" i="1"/>
  <c r="G144" i="1"/>
  <c r="T144" i="1" s="1"/>
  <c r="AD144" i="1" s="1"/>
  <c r="E144" i="1"/>
  <c r="C144" i="1"/>
  <c r="B144" i="1"/>
  <c r="A144" i="1"/>
  <c r="AA143" i="1"/>
  <c r="Y143" i="1"/>
  <c r="W143" i="1"/>
  <c r="U143" i="1"/>
  <c r="R143" i="1"/>
  <c r="S143" i="1" s="1"/>
  <c r="Q143" i="1"/>
  <c r="O143" i="1"/>
  <c r="M143" i="1"/>
  <c r="K143" i="1"/>
  <c r="I143" i="1"/>
  <c r="G143" i="1"/>
  <c r="T143" i="1" s="1"/>
  <c r="E143" i="1"/>
  <c r="C143" i="1"/>
  <c r="B143" i="1"/>
  <c r="A143" i="1"/>
  <c r="AA142" i="1"/>
  <c r="Y142" i="1"/>
  <c r="W142" i="1"/>
  <c r="S142" i="1"/>
  <c r="R142" i="1"/>
  <c r="Q142" i="1"/>
  <c r="O142" i="1"/>
  <c r="M142" i="1"/>
  <c r="K142" i="1"/>
  <c r="G142" i="1"/>
  <c r="I142" i="1" s="1"/>
  <c r="E142" i="1"/>
  <c r="C142" i="1"/>
  <c r="B142" i="1"/>
  <c r="A142" i="1"/>
  <c r="AA141" i="1"/>
  <c r="Y141" i="1"/>
  <c r="W141" i="1"/>
  <c r="T141" i="1"/>
  <c r="AD141" i="1" s="1"/>
  <c r="S141" i="1"/>
  <c r="R141" i="1"/>
  <c r="Q141" i="1"/>
  <c r="O141" i="1"/>
  <c r="K141" i="1"/>
  <c r="M141" i="1" s="1"/>
  <c r="I141" i="1"/>
  <c r="G141" i="1"/>
  <c r="E141" i="1"/>
  <c r="C141" i="1"/>
  <c r="B141" i="1"/>
  <c r="A141" i="1"/>
  <c r="AA140" i="1"/>
  <c r="Y140" i="1"/>
  <c r="W140" i="1"/>
  <c r="S140" i="1"/>
  <c r="R140" i="1"/>
  <c r="O140" i="1"/>
  <c r="Q140" i="1" s="1"/>
  <c r="M140" i="1"/>
  <c r="K140" i="1"/>
  <c r="I140" i="1"/>
  <c r="G140" i="1"/>
  <c r="T140" i="1" s="1"/>
  <c r="AD140" i="1" s="1"/>
  <c r="E140" i="1"/>
  <c r="C140" i="1"/>
  <c r="B140" i="1"/>
  <c r="A140" i="1"/>
  <c r="AA139" i="1"/>
  <c r="Y139" i="1"/>
  <c r="W139" i="1"/>
  <c r="R139" i="1"/>
  <c r="S139" i="1" s="1"/>
  <c r="O139" i="1"/>
  <c r="Q139" i="1" s="1"/>
  <c r="M139" i="1"/>
  <c r="K139" i="1"/>
  <c r="I139" i="1"/>
  <c r="G139" i="1"/>
  <c r="T139" i="1" s="1"/>
  <c r="E139" i="1"/>
  <c r="C139" i="1"/>
  <c r="B139" i="1"/>
  <c r="A139" i="1"/>
  <c r="AA138" i="1"/>
  <c r="Y138" i="1"/>
  <c r="W138" i="1"/>
  <c r="E138" i="1"/>
  <c r="C138" i="1"/>
  <c r="B138" i="1"/>
  <c r="A138" i="1"/>
  <c r="AA137" i="1"/>
  <c r="Y137" i="1"/>
  <c r="W137" i="1"/>
  <c r="E137" i="1"/>
  <c r="C137" i="1"/>
  <c r="B137" i="1"/>
  <c r="A137" i="1"/>
  <c r="AA136" i="1"/>
  <c r="Y136" i="1"/>
  <c r="W136" i="1"/>
  <c r="E136" i="1"/>
  <c r="C136" i="1"/>
  <c r="B136" i="1"/>
  <c r="A136" i="1"/>
  <c r="AA135" i="1"/>
  <c r="Y135" i="1"/>
  <c r="W135" i="1"/>
  <c r="E135" i="1"/>
  <c r="C135" i="1"/>
  <c r="B135" i="1"/>
  <c r="A135" i="1"/>
  <c r="AA134" i="1"/>
  <c r="Y134" i="1"/>
  <c r="W134" i="1"/>
  <c r="E134" i="1"/>
  <c r="C134" i="1"/>
  <c r="B134" i="1"/>
  <c r="A134" i="1"/>
  <c r="AA133" i="1"/>
  <c r="Y133" i="1"/>
  <c r="W133" i="1"/>
  <c r="E133" i="1"/>
  <c r="C133" i="1"/>
  <c r="B133" i="1"/>
  <c r="A133" i="1"/>
  <c r="AA132" i="1"/>
  <c r="Y132" i="1"/>
  <c r="W132" i="1"/>
  <c r="E132" i="1"/>
  <c r="C132" i="1"/>
  <c r="B132" i="1"/>
  <c r="A132" i="1"/>
  <c r="AA131" i="1"/>
  <c r="Y131" i="1"/>
  <c r="W131" i="1"/>
  <c r="R131" i="1"/>
  <c r="S131" i="1" s="1"/>
  <c r="O131" i="1"/>
  <c r="Q131" i="1" s="1"/>
  <c r="M131" i="1"/>
  <c r="K131" i="1"/>
  <c r="I131" i="1"/>
  <c r="G131" i="1"/>
  <c r="E131" i="1"/>
  <c r="C131" i="1"/>
  <c r="B131" i="1"/>
  <c r="A131" i="1"/>
  <c r="AA130" i="1"/>
  <c r="Y130" i="1"/>
  <c r="W130" i="1"/>
  <c r="R130" i="1"/>
  <c r="S130" i="1" s="1"/>
  <c r="Q130" i="1"/>
  <c r="O130" i="1"/>
  <c r="M130" i="1"/>
  <c r="K130" i="1"/>
  <c r="G130" i="1"/>
  <c r="I130" i="1" s="1"/>
  <c r="E130" i="1"/>
  <c r="C130" i="1"/>
  <c r="B130" i="1"/>
  <c r="A130" i="1"/>
  <c r="AD129" i="1"/>
  <c r="AA129" i="1"/>
  <c r="Y129" i="1"/>
  <c r="W129" i="1"/>
  <c r="S129" i="1"/>
  <c r="R129" i="1"/>
  <c r="Q129" i="1"/>
  <c r="O129" i="1"/>
  <c r="K129" i="1"/>
  <c r="M129" i="1" s="1"/>
  <c r="I129" i="1"/>
  <c r="G129" i="1"/>
  <c r="T129" i="1" s="1"/>
  <c r="E129" i="1"/>
  <c r="C129" i="1"/>
  <c r="B129" i="1"/>
  <c r="A129" i="1"/>
  <c r="AA128" i="1"/>
  <c r="Y128" i="1"/>
  <c r="W128" i="1"/>
  <c r="S128" i="1"/>
  <c r="R128" i="1"/>
  <c r="O128" i="1"/>
  <c r="Q128" i="1" s="1"/>
  <c r="M128" i="1"/>
  <c r="K128" i="1"/>
  <c r="I128" i="1"/>
  <c r="G128" i="1"/>
  <c r="T128" i="1" s="1"/>
  <c r="U128" i="1" s="1"/>
  <c r="E128" i="1"/>
  <c r="C128" i="1"/>
  <c r="B128" i="1"/>
  <c r="A128" i="1"/>
  <c r="AA127" i="1"/>
  <c r="Y127" i="1"/>
  <c r="W127" i="1"/>
  <c r="R127" i="1"/>
  <c r="S127" i="1" s="1"/>
  <c r="Q127" i="1"/>
  <c r="O127" i="1"/>
  <c r="M127" i="1"/>
  <c r="K127" i="1"/>
  <c r="I127" i="1"/>
  <c r="G127" i="1"/>
  <c r="E127" i="1"/>
  <c r="C127" i="1"/>
  <c r="B127" i="1"/>
  <c r="A127" i="1"/>
  <c r="AA126" i="1"/>
  <c r="Y126" i="1"/>
  <c r="W126" i="1"/>
  <c r="S126" i="1"/>
  <c r="R126" i="1"/>
  <c r="Q126" i="1"/>
  <c r="O126" i="1"/>
  <c r="M126" i="1"/>
  <c r="K126" i="1"/>
  <c r="G126" i="1"/>
  <c r="I126" i="1" s="1"/>
  <c r="E126" i="1"/>
  <c r="C126" i="1"/>
  <c r="B126" i="1"/>
  <c r="A126" i="1"/>
  <c r="AD125" i="1"/>
  <c r="AA125" i="1"/>
  <c r="Y125" i="1"/>
  <c r="W125" i="1"/>
  <c r="S125" i="1"/>
  <c r="R125" i="1"/>
  <c r="Q125" i="1"/>
  <c r="O125" i="1"/>
  <c r="K125" i="1"/>
  <c r="M125" i="1" s="1"/>
  <c r="I125" i="1"/>
  <c r="G125" i="1"/>
  <c r="T125" i="1" s="1"/>
  <c r="U125" i="1" s="1"/>
  <c r="E125" i="1"/>
  <c r="C125" i="1"/>
  <c r="B125" i="1"/>
  <c r="A125" i="1"/>
  <c r="AA124" i="1"/>
  <c r="Y124" i="1"/>
  <c r="W124" i="1"/>
  <c r="S124" i="1"/>
  <c r="R124" i="1"/>
  <c r="O124" i="1"/>
  <c r="Q124" i="1" s="1"/>
  <c r="M124" i="1"/>
  <c r="K124" i="1"/>
  <c r="I124" i="1"/>
  <c r="G124" i="1"/>
  <c r="T124" i="1" s="1"/>
  <c r="E124" i="1"/>
  <c r="C124" i="1"/>
  <c r="B124" i="1"/>
  <c r="A124" i="1"/>
  <c r="AD123" i="1"/>
  <c r="AA123" i="1"/>
  <c r="Y123" i="1"/>
  <c r="W123" i="1"/>
  <c r="R123" i="1"/>
  <c r="S123" i="1" s="1"/>
  <c r="O123" i="1"/>
  <c r="Q123" i="1" s="1"/>
  <c r="M123" i="1"/>
  <c r="K123" i="1"/>
  <c r="I123" i="1"/>
  <c r="G123" i="1"/>
  <c r="T123" i="1" s="1"/>
  <c r="U123" i="1" s="1"/>
  <c r="E123" i="1"/>
  <c r="C123" i="1"/>
  <c r="B123" i="1"/>
  <c r="A123" i="1"/>
  <c r="AA122" i="1"/>
  <c r="Y122" i="1"/>
  <c r="W122" i="1"/>
  <c r="S122" i="1"/>
  <c r="R122" i="1"/>
  <c r="Q122" i="1"/>
  <c r="O122" i="1"/>
  <c r="M122" i="1"/>
  <c r="K122" i="1"/>
  <c r="G122" i="1"/>
  <c r="I122" i="1" s="1"/>
  <c r="E122" i="1"/>
  <c r="C122" i="1"/>
  <c r="B122" i="1"/>
  <c r="A122" i="1"/>
  <c r="AA121" i="1"/>
  <c r="Y121" i="1"/>
  <c r="W121" i="1"/>
  <c r="S121" i="1"/>
  <c r="R121" i="1"/>
  <c r="Q121" i="1"/>
  <c r="O121" i="1"/>
  <c r="K121" i="1"/>
  <c r="M121" i="1" s="1"/>
  <c r="G121" i="1"/>
  <c r="E121" i="1"/>
  <c r="C121" i="1"/>
  <c r="B121" i="1"/>
  <c r="A121" i="1"/>
  <c r="AA120" i="1"/>
  <c r="Y120" i="1"/>
  <c r="W120" i="1"/>
  <c r="S120" i="1"/>
  <c r="R120" i="1"/>
  <c r="O120" i="1"/>
  <c r="Q120" i="1" s="1"/>
  <c r="K120" i="1"/>
  <c r="M120" i="1" s="1"/>
  <c r="I120" i="1"/>
  <c r="G120" i="1"/>
  <c r="E120" i="1"/>
  <c r="C120" i="1"/>
  <c r="B120" i="1"/>
  <c r="A120" i="1"/>
  <c r="AA119" i="1"/>
  <c r="Y119" i="1"/>
  <c r="W119" i="1"/>
  <c r="R119" i="1"/>
  <c r="S119" i="1" s="1"/>
  <c r="Q119" i="1"/>
  <c r="O119" i="1"/>
  <c r="M119" i="1"/>
  <c r="K119" i="1"/>
  <c r="I119" i="1"/>
  <c r="G119" i="1"/>
  <c r="E119" i="1"/>
  <c r="C119" i="1"/>
  <c r="B119" i="1"/>
  <c r="A119" i="1"/>
  <c r="AA118" i="1"/>
  <c r="Y118" i="1"/>
  <c r="W118" i="1"/>
  <c r="S118" i="1"/>
  <c r="R118" i="1"/>
  <c r="Q118" i="1"/>
  <c r="O118" i="1"/>
  <c r="M118" i="1"/>
  <c r="K118" i="1"/>
  <c r="G118" i="1"/>
  <c r="I118" i="1" s="1"/>
  <c r="E118" i="1"/>
  <c r="C118" i="1"/>
  <c r="B118" i="1"/>
  <c r="A118" i="1"/>
  <c r="AA117" i="1"/>
  <c r="Y117" i="1"/>
  <c r="W117" i="1"/>
  <c r="T117" i="1"/>
  <c r="S117" i="1"/>
  <c r="R117" i="1"/>
  <c r="Q117" i="1"/>
  <c r="O117" i="1"/>
  <c r="K117" i="1"/>
  <c r="M117" i="1" s="1"/>
  <c r="I117" i="1"/>
  <c r="G117" i="1"/>
  <c r="E117" i="1"/>
  <c r="C117" i="1"/>
  <c r="B117" i="1"/>
  <c r="A117" i="1"/>
  <c r="AA116" i="1"/>
  <c r="Y116" i="1"/>
  <c r="W116" i="1"/>
  <c r="S116" i="1"/>
  <c r="R116" i="1"/>
  <c r="O116" i="1"/>
  <c r="Q116" i="1" s="1"/>
  <c r="K116" i="1"/>
  <c r="M116" i="1" s="1"/>
  <c r="I116" i="1"/>
  <c r="G116" i="1"/>
  <c r="E116" i="1"/>
  <c r="C116" i="1"/>
  <c r="B116" i="1"/>
  <c r="A116" i="1"/>
  <c r="AA115" i="1"/>
  <c r="Y115" i="1"/>
  <c r="W115" i="1"/>
  <c r="R115" i="1"/>
  <c r="S115" i="1" s="1"/>
  <c r="Q115" i="1"/>
  <c r="O115" i="1"/>
  <c r="M115" i="1"/>
  <c r="K115" i="1"/>
  <c r="I115" i="1"/>
  <c r="G115" i="1"/>
  <c r="T115" i="1" s="1"/>
  <c r="E115" i="1"/>
  <c r="C115" i="1"/>
  <c r="B115" i="1"/>
  <c r="A115" i="1"/>
  <c r="AA114" i="1"/>
  <c r="Y114" i="1"/>
  <c r="W114" i="1"/>
  <c r="R114" i="1"/>
  <c r="S114" i="1" s="1"/>
  <c r="Q114" i="1"/>
  <c r="O114" i="1"/>
  <c r="M114" i="1"/>
  <c r="K114" i="1"/>
  <c r="G114" i="1"/>
  <c r="I114" i="1" s="1"/>
  <c r="E114" i="1"/>
  <c r="C114" i="1"/>
  <c r="B114" i="1"/>
  <c r="A114" i="1"/>
  <c r="AA113" i="1"/>
  <c r="Y113" i="1"/>
  <c r="W113" i="1"/>
  <c r="U113" i="1"/>
  <c r="S113" i="1"/>
  <c r="R113" i="1"/>
  <c r="Q113" i="1"/>
  <c r="O113" i="1"/>
  <c r="K113" i="1"/>
  <c r="M113" i="1" s="1"/>
  <c r="I113" i="1"/>
  <c r="G113" i="1"/>
  <c r="T113" i="1" s="1"/>
  <c r="AD113" i="1" s="1"/>
  <c r="E113" i="1"/>
  <c r="C113" i="1"/>
  <c r="B113" i="1"/>
  <c r="A113" i="1"/>
  <c r="AA112" i="1"/>
  <c r="Y112" i="1"/>
  <c r="W112" i="1"/>
  <c r="S112" i="1"/>
  <c r="R112" i="1"/>
  <c r="O112" i="1"/>
  <c r="Q112" i="1" s="1"/>
  <c r="M112" i="1"/>
  <c r="K112" i="1"/>
  <c r="I112" i="1"/>
  <c r="G112" i="1"/>
  <c r="T112" i="1" s="1"/>
  <c r="E112" i="1"/>
  <c r="C112" i="1"/>
  <c r="B112" i="1"/>
  <c r="A112" i="1"/>
  <c r="AA111" i="1"/>
  <c r="Y111" i="1"/>
  <c r="W111" i="1"/>
  <c r="R111" i="1"/>
  <c r="S111" i="1" s="1"/>
  <c r="Q111" i="1"/>
  <c r="O111" i="1"/>
  <c r="M111" i="1"/>
  <c r="K111" i="1"/>
  <c r="I111" i="1"/>
  <c r="G111" i="1"/>
  <c r="T111" i="1" s="1"/>
  <c r="U111" i="1" s="1"/>
  <c r="E111" i="1"/>
  <c r="C111" i="1"/>
  <c r="B111" i="1"/>
  <c r="A111" i="1"/>
  <c r="AA110" i="1"/>
  <c r="Y110" i="1"/>
  <c r="W110" i="1"/>
  <c r="S110" i="1"/>
  <c r="R110" i="1"/>
  <c r="Q110" i="1"/>
  <c r="O110" i="1"/>
  <c r="M110" i="1"/>
  <c r="K110" i="1"/>
  <c r="G110" i="1"/>
  <c r="I110" i="1" s="1"/>
  <c r="E110" i="1"/>
  <c r="C110" i="1"/>
  <c r="B110" i="1"/>
  <c r="A110" i="1"/>
  <c r="AA109" i="1"/>
  <c r="Y109" i="1"/>
  <c r="W109" i="1"/>
  <c r="T109" i="1"/>
  <c r="AD109" i="1" s="1"/>
  <c r="S109" i="1"/>
  <c r="R109" i="1"/>
  <c r="Q109" i="1"/>
  <c r="O109" i="1"/>
  <c r="K109" i="1"/>
  <c r="M109" i="1" s="1"/>
  <c r="G109" i="1"/>
  <c r="I109" i="1" s="1"/>
  <c r="E109" i="1"/>
  <c r="C109" i="1"/>
  <c r="B109" i="1"/>
  <c r="A109" i="1"/>
  <c r="AA108" i="1"/>
  <c r="Y108" i="1"/>
  <c r="W108" i="1"/>
  <c r="S108" i="1"/>
  <c r="U108" i="1" s="1"/>
  <c r="R108" i="1"/>
  <c r="O108" i="1"/>
  <c r="Q108" i="1" s="1"/>
  <c r="M108" i="1"/>
  <c r="K108" i="1"/>
  <c r="I108" i="1"/>
  <c r="G108" i="1"/>
  <c r="T108" i="1" s="1"/>
  <c r="AD108" i="1" s="1"/>
  <c r="E108" i="1"/>
  <c r="C108" i="1"/>
  <c r="B108" i="1"/>
  <c r="A108" i="1"/>
  <c r="AA107" i="1"/>
  <c r="Y107" i="1"/>
  <c r="W107" i="1"/>
  <c r="R107" i="1"/>
  <c r="S107" i="1" s="1"/>
  <c r="O107" i="1"/>
  <c r="Q107" i="1" s="1"/>
  <c r="M107" i="1"/>
  <c r="K107" i="1"/>
  <c r="I107" i="1"/>
  <c r="G107" i="1"/>
  <c r="E107" i="1"/>
  <c r="C107" i="1"/>
  <c r="B107" i="1"/>
  <c r="A107" i="1"/>
  <c r="AA106" i="1"/>
  <c r="Y106" i="1"/>
  <c r="W106" i="1"/>
  <c r="S106" i="1"/>
  <c r="R106" i="1"/>
  <c r="Q106" i="1"/>
  <c r="O106" i="1"/>
  <c r="M106" i="1"/>
  <c r="K106" i="1"/>
  <c r="G106" i="1"/>
  <c r="I106" i="1" s="1"/>
  <c r="E106" i="1"/>
  <c r="C106" i="1"/>
  <c r="B106" i="1"/>
  <c r="A106" i="1"/>
  <c r="AD105" i="1"/>
  <c r="AA105" i="1"/>
  <c r="Y105" i="1"/>
  <c r="W105" i="1"/>
  <c r="T105" i="1"/>
  <c r="U105" i="1" s="1"/>
  <c r="S105" i="1"/>
  <c r="R105" i="1"/>
  <c r="Q105" i="1"/>
  <c r="O105" i="1"/>
  <c r="K105" i="1"/>
  <c r="M105" i="1" s="1"/>
  <c r="G105" i="1"/>
  <c r="I105" i="1" s="1"/>
  <c r="E105" i="1"/>
  <c r="C105" i="1"/>
  <c r="B105" i="1"/>
  <c r="A105" i="1"/>
  <c r="AA104" i="1"/>
  <c r="Y104" i="1"/>
  <c r="W104" i="1"/>
  <c r="S104" i="1"/>
  <c r="R104" i="1"/>
  <c r="O104" i="1"/>
  <c r="Q104" i="1" s="1"/>
  <c r="M104" i="1"/>
  <c r="K104" i="1"/>
  <c r="I104" i="1"/>
  <c r="G104" i="1"/>
  <c r="E104" i="1"/>
  <c r="C104" i="1"/>
  <c r="B104" i="1"/>
  <c r="A104" i="1"/>
  <c r="AD103" i="1"/>
  <c r="AA103" i="1"/>
  <c r="Y103" i="1"/>
  <c r="W103" i="1"/>
  <c r="R103" i="1"/>
  <c r="S103" i="1" s="1"/>
  <c r="U103" i="1" s="1"/>
  <c r="Q103" i="1"/>
  <c r="O103" i="1"/>
  <c r="M103" i="1"/>
  <c r="K103" i="1"/>
  <c r="I103" i="1"/>
  <c r="G103" i="1"/>
  <c r="T103" i="1" s="1"/>
  <c r="E103" i="1"/>
  <c r="C103" i="1"/>
  <c r="B103" i="1"/>
  <c r="A103" i="1"/>
  <c r="AA102" i="1"/>
  <c r="Y102" i="1"/>
  <c r="W102" i="1"/>
  <c r="R102" i="1"/>
  <c r="S102" i="1" s="1"/>
  <c r="Q102" i="1"/>
  <c r="O102" i="1"/>
  <c r="M102" i="1"/>
  <c r="K102" i="1"/>
  <c r="G102" i="1"/>
  <c r="I102" i="1" s="1"/>
  <c r="E102" i="1"/>
  <c r="C102" i="1"/>
  <c r="B102" i="1"/>
  <c r="A102" i="1"/>
  <c r="AA101" i="1"/>
  <c r="Y101" i="1"/>
  <c r="W101" i="1"/>
  <c r="T101" i="1"/>
  <c r="S101" i="1"/>
  <c r="R101" i="1"/>
  <c r="Q101" i="1"/>
  <c r="O101" i="1"/>
  <c r="K101" i="1"/>
  <c r="M101" i="1" s="1"/>
  <c r="I101" i="1"/>
  <c r="G101" i="1"/>
  <c r="E101" i="1"/>
  <c r="C101" i="1"/>
  <c r="B101" i="1"/>
  <c r="A101" i="1"/>
  <c r="AA100" i="1"/>
  <c r="Y100" i="1"/>
  <c r="W100" i="1"/>
  <c r="S100" i="1"/>
  <c r="R100" i="1"/>
  <c r="O100" i="1"/>
  <c r="Q100" i="1" s="1"/>
  <c r="K100" i="1"/>
  <c r="M100" i="1" s="1"/>
  <c r="I100" i="1"/>
  <c r="G100" i="1"/>
  <c r="E100" i="1"/>
  <c r="C100" i="1"/>
  <c r="B100" i="1"/>
  <c r="A100" i="1"/>
  <c r="AA99" i="1"/>
  <c r="Y99" i="1"/>
  <c r="W99" i="1"/>
  <c r="R99" i="1"/>
  <c r="S99" i="1" s="1"/>
  <c r="O99" i="1"/>
  <c r="Q99" i="1" s="1"/>
  <c r="M99" i="1"/>
  <c r="K99" i="1"/>
  <c r="I99" i="1"/>
  <c r="G99" i="1"/>
  <c r="E99" i="1"/>
  <c r="C99" i="1"/>
  <c r="B99" i="1"/>
  <c r="A99" i="1"/>
  <c r="AA98" i="1"/>
  <c r="Y98" i="1"/>
  <c r="W98" i="1"/>
  <c r="R98" i="1"/>
  <c r="S98" i="1" s="1"/>
  <c r="Q98" i="1"/>
  <c r="O98" i="1"/>
  <c r="M98" i="1"/>
  <c r="K98" i="1"/>
  <c r="G98" i="1"/>
  <c r="I98" i="1" s="1"/>
  <c r="E98" i="1"/>
  <c r="C98" i="1"/>
  <c r="B98" i="1"/>
  <c r="A98" i="1"/>
  <c r="AA97" i="1"/>
  <c r="Y97" i="1"/>
  <c r="W97" i="1"/>
  <c r="S97" i="1"/>
  <c r="R97" i="1"/>
  <c r="Q97" i="1"/>
  <c r="O97" i="1"/>
  <c r="K97" i="1"/>
  <c r="M97" i="1" s="1"/>
  <c r="I97" i="1"/>
  <c r="G97" i="1"/>
  <c r="T97" i="1" s="1"/>
  <c r="E97" i="1"/>
  <c r="C97" i="1"/>
  <c r="B97" i="1"/>
  <c r="A97" i="1"/>
  <c r="AA96" i="1"/>
  <c r="Y96" i="1"/>
  <c r="W96" i="1"/>
  <c r="S96" i="1"/>
  <c r="R96" i="1"/>
  <c r="O96" i="1"/>
  <c r="Q96" i="1" s="1"/>
  <c r="M96" i="1"/>
  <c r="K96" i="1"/>
  <c r="I96" i="1"/>
  <c r="G96" i="1"/>
  <c r="T96" i="1" s="1"/>
  <c r="U96" i="1" s="1"/>
  <c r="E96" i="1"/>
  <c r="C96" i="1"/>
  <c r="B96" i="1"/>
  <c r="A96" i="1"/>
  <c r="AA95" i="1"/>
  <c r="Y95" i="1"/>
  <c r="W95" i="1"/>
  <c r="R95" i="1"/>
  <c r="S95" i="1" s="1"/>
  <c r="O95" i="1"/>
  <c r="Q95" i="1" s="1"/>
  <c r="M95" i="1"/>
  <c r="K95" i="1"/>
  <c r="I95" i="1"/>
  <c r="G95" i="1"/>
  <c r="E95" i="1"/>
  <c r="C95" i="1"/>
  <c r="B95" i="1"/>
  <c r="A95" i="1"/>
  <c r="AA94" i="1"/>
  <c r="Y94" i="1"/>
  <c r="W94" i="1"/>
  <c r="S94" i="1"/>
  <c r="R94" i="1"/>
  <c r="Q94" i="1"/>
  <c r="O94" i="1"/>
  <c r="M94" i="1"/>
  <c r="K94" i="1"/>
  <c r="G94" i="1"/>
  <c r="I94" i="1" s="1"/>
  <c r="E94" i="1"/>
  <c r="C94" i="1"/>
  <c r="B94" i="1"/>
  <c r="A94" i="1"/>
  <c r="AD93" i="1"/>
  <c r="AA93" i="1"/>
  <c r="Y93" i="1"/>
  <c r="W93" i="1"/>
  <c r="S93" i="1"/>
  <c r="R93" i="1"/>
  <c r="Q93" i="1"/>
  <c r="O93" i="1"/>
  <c r="K93" i="1"/>
  <c r="M93" i="1" s="1"/>
  <c r="I93" i="1"/>
  <c r="G93" i="1"/>
  <c r="T93" i="1" s="1"/>
  <c r="U93" i="1" s="1"/>
  <c r="E93" i="1"/>
  <c r="C93" i="1"/>
  <c r="B93" i="1"/>
  <c r="A93" i="1"/>
  <c r="AA92" i="1"/>
  <c r="Y92" i="1"/>
  <c r="W92" i="1"/>
  <c r="S92" i="1"/>
  <c r="R92" i="1"/>
  <c r="O92" i="1"/>
  <c r="Q92" i="1" s="1"/>
  <c r="M92" i="1"/>
  <c r="K92" i="1"/>
  <c r="I92" i="1"/>
  <c r="G92" i="1"/>
  <c r="T92" i="1" s="1"/>
  <c r="E92" i="1"/>
  <c r="C92" i="1"/>
  <c r="B92" i="1"/>
  <c r="A92" i="1"/>
  <c r="AA91" i="1"/>
  <c r="Y91" i="1"/>
  <c r="W91" i="1"/>
  <c r="R91" i="1"/>
  <c r="S91" i="1" s="1"/>
  <c r="O91" i="1"/>
  <c r="Q91" i="1" s="1"/>
  <c r="M91" i="1"/>
  <c r="K91" i="1"/>
  <c r="I91" i="1"/>
  <c r="G91" i="1"/>
  <c r="E91" i="1"/>
  <c r="C91" i="1"/>
  <c r="B91" i="1"/>
  <c r="A91" i="1"/>
  <c r="AA90" i="1"/>
  <c r="Y90" i="1"/>
  <c r="W90" i="1"/>
  <c r="S90" i="1"/>
  <c r="R90" i="1"/>
  <c r="Q90" i="1"/>
  <c r="O90" i="1"/>
  <c r="M90" i="1"/>
  <c r="K90" i="1"/>
  <c r="G90" i="1"/>
  <c r="I90" i="1" s="1"/>
  <c r="E90" i="1"/>
  <c r="C90" i="1"/>
  <c r="B90" i="1"/>
  <c r="A90" i="1"/>
  <c r="AA89" i="1"/>
  <c r="Y89" i="1"/>
  <c r="W89" i="1"/>
  <c r="S89" i="1"/>
  <c r="R89" i="1"/>
  <c r="Q89" i="1"/>
  <c r="O89" i="1"/>
  <c r="K89" i="1"/>
  <c r="M89" i="1" s="1"/>
  <c r="G89" i="1"/>
  <c r="E89" i="1"/>
  <c r="C89" i="1"/>
  <c r="B89" i="1"/>
  <c r="A89" i="1"/>
  <c r="AA88" i="1"/>
  <c r="Y88" i="1"/>
  <c r="W88" i="1"/>
  <c r="S88" i="1"/>
  <c r="R88" i="1"/>
  <c r="O88" i="1"/>
  <c r="Q88" i="1" s="1"/>
  <c r="K88" i="1"/>
  <c r="M88" i="1" s="1"/>
  <c r="G88" i="1"/>
  <c r="E88" i="1"/>
  <c r="C88" i="1"/>
  <c r="B88" i="1"/>
  <c r="A88" i="1"/>
  <c r="AA87" i="1"/>
  <c r="Y87" i="1"/>
  <c r="W87" i="1"/>
  <c r="R87" i="1"/>
  <c r="S87" i="1" s="1"/>
  <c r="O87" i="1"/>
  <c r="Q87" i="1" s="1"/>
  <c r="M87" i="1"/>
  <c r="K87" i="1"/>
  <c r="I87" i="1"/>
  <c r="G87" i="1"/>
  <c r="T87" i="1" s="1"/>
  <c r="E87" i="1"/>
  <c r="C87" i="1"/>
  <c r="B87" i="1"/>
  <c r="A87" i="1"/>
  <c r="AA86" i="1"/>
  <c r="Y86" i="1"/>
  <c r="W86" i="1"/>
  <c r="S86" i="1"/>
  <c r="R86" i="1"/>
  <c r="Q86" i="1"/>
  <c r="O86" i="1"/>
  <c r="M86" i="1"/>
  <c r="K86" i="1"/>
  <c r="G86" i="1"/>
  <c r="E86" i="1"/>
  <c r="C86" i="1"/>
  <c r="B86" i="1"/>
  <c r="A86" i="1"/>
  <c r="AA85" i="1"/>
  <c r="Y85" i="1"/>
  <c r="W85" i="1"/>
  <c r="R85" i="1"/>
  <c r="S85" i="1" s="1"/>
  <c r="Q85" i="1"/>
  <c r="O85" i="1"/>
  <c r="K85" i="1"/>
  <c r="M85" i="1" s="1"/>
  <c r="I85" i="1"/>
  <c r="G85" i="1"/>
  <c r="T85" i="1" s="1"/>
  <c r="E85" i="1"/>
  <c r="C85" i="1"/>
  <c r="B85" i="1"/>
  <c r="A85" i="1"/>
  <c r="AA84" i="1"/>
  <c r="Y84" i="1"/>
  <c r="W84" i="1"/>
  <c r="S84" i="1"/>
  <c r="R84" i="1"/>
  <c r="O84" i="1"/>
  <c r="Q84" i="1" s="1"/>
  <c r="M84" i="1"/>
  <c r="K84" i="1"/>
  <c r="I84" i="1"/>
  <c r="G84" i="1"/>
  <c r="E84" i="1"/>
  <c r="C84" i="1"/>
  <c r="B84" i="1"/>
  <c r="A84" i="1"/>
  <c r="AA83" i="1"/>
  <c r="Y83" i="1"/>
  <c r="W83" i="1"/>
  <c r="R83" i="1"/>
  <c r="S83" i="1" s="1"/>
  <c r="Q83" i="1"/>
  <c r="O83" i="1"/>
  <c r="M83" i="1"/>
  <c r="K83" i="1"/>
  <c r="I83" i="1"/>
  <c r="G83" i="1"/>
  <c r="E83" i="1"/>
  <c r="C83" i="1"/>
  <c r="B83" i="1"/>
  <c r="A83" i="1"/>
  <c r="AA82" i="1"/>
  <c r="Y82" i="1"/>
  <c r="W82" i="1"/>
  <c r="R82" i="1"/>
  <c r="S82" i="1" s="1"/>
  <c r="O82" i="1"/>
  <c r="Q82" i="1" s="1"/>
  <c r="M82" i="1"/>
  <c r="K82" i="1"/>
  <c r="G82" i="1"/>
  <c r="I82" i="1" s="1"/>
  <c r="E82" i="1"/>
  <c r="C82" i="1"/>
  <c r="B82" i="1"/>
  <c r="A82" i="1"/>
  <c r="AA81" i="1"/>
  <c r="Y81" i="1"/>
  <c r="W81" i="1"/>
  <c r="S81" i="1"/>
  <c r="R81" i="1"/>
  <c r="Q81" i="1"/>
  <c r="O81" i="1"/>
  <c r="K81" i="1"/>
  <c r="M81" i="1" s="1"/>
  <c r="G81" i="1"/>
  <c r="I81" i="1" s="1"/>
  <c r="E81" i="1"/>
  <c r="C81" i="1"/>
  <c r="B81" i="1"/>
  <c r="A81" i="1"/>
  <c r="AA80" i="1"/>
  <c r="Y80" i="1"/>
  <c r="W80" i="1"/>
  <c r="S80" i="1"/>
  <c r="R80" i="1"/>
  <c r="O80" i="1"/>
  <c r="Q80" i="1" s="1"/>
  <c r="K80" i="1"/>
  <c r="M80" i="1" s="1"/>
  <c r="G80" i="1"/>
  <c r="I80" i="1" s="1"/>
  <c r="E80" i="1"/>
  <c r="C80" i="1"/>
  <c r="B80" i="1"/>
  <c r="A80" i="1"/>
  <c r="AA79" i="1"/>
  <c r="Y79" i="1"/>
  <c r="W79" i="1"/>
  <c r="R79" i="1"/>
  <c r="S79" i="1" s="1"/>
  <c r="Q79" i="1"/>
  <c r="O79" i="1"/>
  <c r="K79" i="1"/>
  <c r="M79" i="1" s="1"/>
  <c r="I79" i="1"/>
  <c r="G79" i="1"/>
  <c r="E79" i="1"/>
  <c r="C79" i="1"/>
  <c r="B79" i="1"/>
  <c r="A79" i="1"/>
  <c r="AA78" i="1"/>
  <c r="Y78" i="1"/>
  <c r="W78" i="1"/>
  <c r="R78" i="1"/>
  <c r="S78" i="1" s="1"/>
  <c r="Q78" i="1"/>
  <c r="O78" i="1"/>
  <c r="M78" i="1"/>
  <c r="K78" i="1"/>
  <c r="G78" i="1"/>
  <c r="I78" i="1" s="1"/>
  <c r="E78" i="1"/>
  <c r="C78" i="1"/>
  <c r="B78" i="1"/>
  <c r="A78" i="1"/>
  <c r="AA77" i="1"/>
  <c r="Y77" i="1"/>
  <c r="W77" i="1"/>
  <c r="T77" i="1"/>
  <c r="R77" i="1"/>
  <c r="S77" i="1" s="1"/>
  <c r="Q77" i="1"/>
  <c r="O77" i="1"/>
  <c r="K77" i="1"/>
  <c r="M77" i="1" s="1"/>
  <c r="I77" i="1"/>
  <c r="G77" i="1"/>
  <c r="E77" i="1"/>
  <c r="C77" i="1"/>
  <c r="B77" i="1"/>
  <c r="A77" i="1"/>
  <c r="AA76" i="1"/>
  <c r="Y76" i="1"/>
  <c r="W76" i="1"/>
  <c r="T76" i="1"/>
  <c r="S76" i="1"/>
  <c r="R76" i="1"/>
  <c r="O76" i="1"/>
  <c r="Q76" i="1" s="1"/>
  <c r="M76" i="1"/>
  <c r="K76" i="1"/>
  <c r="I76" i="1"/>
  <c r="G76" i="1"/>
  <c r="E76" i="1"/>
  <c r="C76" i="1"/>
  <c r="B76" i="1"/>
  <c r="A76" i="1"/>
  <c r="AA75" i="1"/>
  <c r="Y75" i="1"/>
  <c r="W75" i="1"/>
  <c r="R75" i="1"/>
  <c r="S75" i="1" s="1"/>
  <c r="Q75" i="1"/>
  <c r="O75" i="1"/>
  <c r="M75" i="1"/>
  <c r="K75" i="1"/>
  <c r="I75" i="1"/>
  <c r="G75" i="1"/>
  <c r="E75" i="1"/>
  <c r="C75" i="1"/>
  <c r="B75" i="1"/>
  <c r="A75" i="1"/>
  <c r="AA74" i="1"/>
  <c r="Y74" i="1"/>
  <c r="W74" i="1"/>
  <c r="S74" i="1"/>
  <c r="R74" i="1"/>
  <c r="O74" i="1"/>
  <c r="Q74" i="1" s="1"/>
  <c r="M74" i="1"/>
  <c r="K74" i="1"/>
  <c r="G74" i="1"/>
  <c r="I74" i="1" s="1"/>
  <c r="E74" i="1"/>
  <c r="C74" i="1"/>
  <c r="B74" i="1"/>
  <c r="A74" i="1"/>
  <c r="AD73" i="1"/>
  <c r="AA73" i="1"/>
  <c r="Y73" i="1"/>
  <c r="W73" i="1"/>
  <c r="T73" i="1"/>
  <c r="U73" i="1" s="1"/>
  <c r="S73" i="1"/>
  <c r="R73" i="1"/>
  <c r="Q73" i="1"/>
  <c r="O73" i="1"/>
  <c r="K73" i="1"/>
  <c r="M73" i="1" s="1"/>
  <c r="G73" i="1"/>
  <c r="I73" i="1" s="1"/>
  <c r="E73" i="1"/>
  <c r="C73" i="1"/>
  <c r="B73" i="1"/>
  <c r="A73" i="1"/>
  <c r="AA72" i="1"/>
  <c r="Y72" i="1"/>
  <c r="W72" i="1"/>
  <c r="S72" i="1"/>
  <c r="R72" i="1"/>
  <c r="O72" i="1"/>
  <c r="Q72" i="1" s="1"/>
  <c r="K72" i="1"/>
  <c r="M72" i="1" s="1"/>
  <c r="G72" i="1"/>
  <c r="E72" i="1"/>
  <c r="C72" i="1"/>
  <c r="B72" i="1"/>
  <c r="A72" i="1"/>
  <c r="AA71" i="1"/>
  <c r="Y71" i="1"/>
  <c r="W71" i="1"/>
  <c r="U71" i="1"/>
  <c r="R71" i="1"/>
  <c r="S71" i="1" s="1"/>
  <c r="O71" i="1"/>
  <c r="Q71" i="1" s="1"/>
  <c r="K71" i="1"/>
  <c r="M71" i="1" s="1"/>
  <c r="I71" i="1"/>
  <c r="G71" i="1"/>
  <c r="T71" i="1" s="1"/>
  <c r="E71" i="1"/>
  <c r="C71" i="1"/>
  <c r="B71" i="1"/>
  <c r="A71" i="1"/>
  <c r="AA70" i="1"/>
  <c r="Y70" i="1"/>
  <c r="W70" i="1"/>
  <c r="T70" i="1"/>
  <c r="S70" i="1"/>
  <c r="R70" i="1"/>
  <c r="Q70" i="1"/>
  <c r="O70" i="1"/>
  <c r="M70" i="1"/>
  <c r="K70" i="1"/>
  <c r="G70" i="1"/>
  <c r="I70" i="1" s="1"/>
  <c r="E70" i="1"/>
  <c r="C70" i="1"/>
  <c r="B70" i="1"/>
  <c r="A70" i="1"/>
  <c r="AA69" i="1"/>
  <c r="Y69" i="1"/>
  <c r="W69" i="1"/>
  <c r="T69" i="1"/>
  <c r="AD69" i="1" s="1"/>
  <c r="R69" i="1"/>
  <c r="S69" i="1" s="1"/>
  <c r="Q69" i="1"/>
  <c r="O69" i="1"/>
  <c r="K69" i="1"/>
  <c r="M69" i="1" s="1"/>
  <c r="G69" i="1"/>
  <c r="I69" i="1" s="1"/>
  <c r="E69" i="1"/>
  <c r="C69" i="1"/>
  <c r="B69" i="1"/>
  <c r="A69" i="1"/>
  <c r="AA68" i="1"/>
  <c r="Y68" i="1"/>
  <c r="W68" i="1"/>
  <c r="T68" i="1"/>
  <c r="AD68" i="1" s="1"/>
  <c r="S68" i="1"/>
  <c r="R68" i="1"/>
  <c r="O68" i="1"/>
  <c r="Q68" i="1" s="1"/>
  <c r="M68" i="1"/>
  <c r="K68" i="1"/>
  <c r="G68" i="1"/>
  <c r="I68" i="1" s="1"/>
  <c r="E68" i="1"/>
  <c r="C68" i="1"/>
  <c r="B68" i="1"/>
  <c r="A68" i="1"/>
  <c r="AA67" i="1"/>
  <c r="Y67" i="1"/>
  <c r="W67" i="1"/>
  <c r="U67" i="1"/>
  <c r="R67" i="1"/>
  <c r="S67" i="1" s="1"/>
  <c r="Q67" i="1"/>
  <c r="O67" i="1"/>
  <c r="M67" i="1"/>
  <c r="K67" i="1"/>
  <c r="I67" i="1"/>
  <c r="G67" i="1"/>
  <c r="T67" i="1" s="1"/>
  <c r="E67" i="1"/>
  <c r="C67" i="1"/>
  <c r="B67" i="1"/>
  <c r="A67" i="1"/>
  <c r="AA66" i="1"/>
  <c r="Y66" i="1"/>
  <c r="W66" i="1"/>
  <c r="R66" i="1"/>
  <c r="S66" i="1" s="1"/>
  <c r="O66" i="1"/>
  <c r="Q66" i="1" s="1"/>
  <c r="M66" i="1"/>
  <c r="K66" i="1"/>
  <c r="G66" i="1"/>
  <c r="I66" i="1" s="1"/>
  <c r="E66" i="1"/>
  <c r="C66" i="1"/>
  <c r="B66" i="1"/>
  <c r="A66" i="1"/>
  <c r="AA65" i="1"/>
  <c r="Y65" i="1"/>
  <c r="W65" i="1"/>
  <c r="S65" i="1"/>
  <c r="R65" i="1"/>
  <c r="Q65" i="1"/>
  <c r="O65" i="1"/>
  <c r="K65" i="1"/>
  <c r="M65" i="1" s="1"/>
  <c r="I65" i="1"/>
  <c r="G65" i="1"/>
  <c r="E65" i="1"/>
  <c r="C65" i="1"/>
  <c r="B65" i="1"/>
  <c r="A65" i="1"/>
  <c r="AA64" i="1"/>
  <c r="Y64" i="1"/>
  <c r="W64" i="1"/>
  <c r="S64" i="1"/>
  <c r="R64" i="1"/>
  <c r="O64" i="1"/>
  <c r="Q64" i="1" s="1"/>
  <c r="K64" i="1"/>
  <c r="M64" i="1" s="1"/>
  <c r="G64" i="1"/>
  <c r="T64" i="1" s="1"/>
  <c r="U64" i="1" s="1"/>
  <c r="E64" i="1"/>
  <c r="C64" i="1"/>
  <c r="B64" i="1"/>
  <c r="A64" i="1"/>
  <c r="AA63" i="1"/>
  <c r="Y63" i="1"/>
  <c r="W63" i="1"/>
  <c r="R63" i="1"/>
  <c r="S63" i="1" s="1"/>
  <c r="Q63" i="1"/>
  <c r="O63" i="1"/>
  <c r="K63" i="1"/>
  <c r="T63" i="1" s="1"/>
  <c r="I63" i="1"/>
  <c r="G63" i="1"/>
  <c r="E63" i="1"/>
  <c r="C63" i="1"/>
  <c r="B63" i="1"/>
  <c r="A63" i="1"/>
  <c r="AA62" i="1"/>
  <c r="Y62" i="1"/>
  <c r="W62" i="1"/>
  <c r="S62" i="1"/>
  <c r="R62" i="1"/>
  <c r="O62" i="1"/>
  <c r="Q62" i="1" s="1"/>
  <c r="M62" i="1"/>
  <c r="K62" i="1"/>
  <c r="T62" i="1" s="1"/>
  <c r="U62" i="1" s="1"/>
  <c r="G62" i="1"/>
  <c r="I62" i="1" s="1"/>
  <c r="E62" i="1"/>
  <c r="C62" i="1"/>
  <c r="B62" i="1"/>
  <c r="A62" i="1"/>
  <c r="AA61" i="1"/>
  <c r="Y61" i="1"/>
  <c r="W61" i="1"/>
  <c r="S61" i="1"/>
  <c r="R61" i="1"/>
  <c r="O61" i="1"/>
  <c r="Q61" i="1" s="1"/>
  <c r="K61" i="1"/>
  <c r="M61" i="1" s="1"/>
  <c r="G61" i="1"/>
  <c r="E61" i="1"/>
  <c r="C61" i="1"/>
  <c r="B61" i="1"/>
  <c r="A61" i="1"/>
  <c r="AA60" i="1"/>
  <c r="Y60" i="1"/>
  <c r="W60" i="1"/>
  <c r="S60" i="1"/>
  <c r="R60" i="1"/>
  <c r="O60" i="1"/>
  <c r="Q60" i="1" s="1"/>
  <c r="M60" i="1"/>
  <c r="K60" i="1"/>
  <c r="G60" i="1"/>
  <c r="E60" i="1"/>
  <c r="C60" i="1"/>
  <c r="B60" i="1"/>
  <c r="A60" i="1"/>
  <c r="AA59" i="1"/>
  <c r="AD59" i="1" s="1"/>
  <c r="Y59" i="1"/>
  <c r="W59" i="1"/>
  <c r="R59" i="1"/>
  <c r="S59" i="1" s="1"/>
  <c r="Q59" i="1"/>
  <c r="O59" i="1"/>
  <c r="M59" i="1"/>
  <c r="K59" i="1"/>
  <c r="I59" i="1"/>
  <c r="G59" i="1"/>
  <c r="T59" i="1" s="1"/>
  <c r="U59" i="1" s="1"/>
  <c r="E59" i="1"/>
  <c r="C59" i="1"/>
  <c r="B59" i="1"/>
  <c r="A59" i="1"/>
  <c r="AA58" i="1"/>
  <c r="Y58" i="1"/>
  <c r="W58" i="1"/>
  <c r="R58" i="1"/>
  <c r="S58" i="1" s="1"/>
  <c r="O58" i="1"/>
  <c r="Q58" i="1" s="1"/>
  <c r="K58" i="1"/>
  <c r="M58" i="1" s="1"/>
  <c r="I58" i="1"/>
  <c r="G58" i="1"/>
  <c r="E58" i="1"/>
  <c r="C58" i="1"/>
  <c r="B58" i="1"/>
  <c r="A58" i="1"/>
  <c r="AA57" i="1"/>
  <c r="Y57" i="1"/>
  <c r="W57" i="1"/>
  <c r="S57" i="1"/>
  <c r="R57" i="1"/>
  <c r="O57" i="1"/>
  <c r="Q57" i="1" s="1"/>
  <c r="M57" i="1"/>
  <c r="K57" i="1"/>
  <c r="G57" i="1"/>
  <c r="I57" i="1" s="1"/>
  <c r="E57" i="1"/>
  <c r="C57" i="1"/>
  <c r="B57" i="1"/>
  <c r="A57" i="1"/>
  <c r="AA56" i="1"/>
  <c r="Y56" i="1"/>
  <c r="W56" i="1"/>
  <c r="R56" i="1"/>
  <c r="S56" i="1" s="1"/>
  <c r="Q56" i="1"/>
  <c r="O56" i="1"/>
  <c r="K56" i="1"/>
  <c r="M56" i="1" s="1"/>
  <c r="I56" i="1"/>
  <c r="G56" i="1"/>
  <c r="T56" i="1" s="1"/>
  <c r="E56" i="1"/>
  <c r="C56" i="1"/>
  <c r="B56" i="1"/>
  <c r="A56" i="1"/>
  <c r="AA55" i="1"/>
  <c r="Y55" i="1"/>
  <c r="W55" i="1"/>
  <c r="T55" i="1"/>
  <c r="S55" i="1"/>
  <c r="R55" i="1"/>
  <c r="O55" i="1"/>
  <c r="Q55" i="1" s="1"/>
  <c r="M55" i="1"/>
  <c r="K55" i="1"/>
  <c r="G55" i="1"/>
  <c r="I55" i="1" s="1"/>
  <c r="E55" i="1"/>
  <c r="C55" i="1"/>
  <c r="B55" i="1"/>
  <c r="A55" i="1"/>
  <c r="AA54" i="1"/>
  <c r="Y54" i="1"/>
  <c r="W54" i="1"/>
  <c r="R54" i="1"/>
  <c r="S54" i="1" s="1"/>
  <c r="Q54" i="1"/>
  <c r="O54" i="1"/>
  <c r="K54" i="1"/>
  <c r="M54" i="1" s="1"/>
  <c r="I54" i="1"/>
  <c r="G54" i="1"/>
  <c r="T54" i="1" s="1"/>
  <c r="E54" i="1"/>
  <c r="C54" i="1"/>
  <c r="B54" i="1"/>
  <c r="A54" i="1"/>
  <c r="AA53" i="1"/>
  <c r="Y53" i="1"/>
  <c r="W53" i="1"/>
  <c r="R53" i="1"/>
  <c r="S53" i="1" s="1"/>
  <c r="O53" i="1"/>
  <c r="M53" i="1"/>
  <c r="K53" i="1"/>
  <c r="G53" i="1"/>
  <c r="I53" i="1" s="1"/>
  <c r="E53" i="1"/>
  <c r="C53" i="1"/>
  <c r="B53" i="1"/>
  <c r="A53" i="1"/>
  <c r="AA52" i="1"/>
  <c r="Y52" i="1"/>
  <c r="W52" i="1"/>
  <c r="R52" i="1"/>
  <c r="S52" i="1" s="1"/>
  <c r="Q52" i="1"/>
  <c r="O52" i="1"/>
  <c r="K52" i="1"/>
  <c r="I52" i="1"/>
  <c r="G52" i="1"/>
  <c r="E52" i="1"/>
  <c r="C52" i="1"/>
  <c r="B52" i="1"/>
  <c r="A52" i="1"/>
  <c r="AA51" i="1"/>
  <c r="Y51" i="1"/>
  <c r="W51" i="1"/>
  <c r="S51" i="1"/>
  <c r="R51" i="1"/>
  <c r="O51" i="1"/>
  <c r="Q51" i="1" s="1"/>
  <c r="K51" i="1"/>
  <c r="M51" i="1" s="1"/>
  <c r="G51" i="1"/>
  <c r="E51" i="1"/>
  <c r="C51" i="1"/>
  <c r="B51" i="1"/>
  <c r="A51" i="1"/>
  <c r="AA50" i="1"/>
  <c r="Y50" i="1"/>
  <c r="W50" i="1"/>
  <c r="U50" i="1"/>
  <c r="R50" i="1"/>
  <c r="S50" i="1" s="1"/>
  <c r="O50" i="1"/>
  <c r="Q50" i="1" s="1"/>
  <c r="K50" i="1"/>
  <c r="M50" i="1" s="1"/>
  <c r="G50" i="1"/>
  <c r="T50" i="1" s="1"/>
  <c r="E50" i="1"/>
  <c r="C50" i="1"/>
  <c r="B50" i="1"/>
  <c r="A50" i="1"/>
  <c r="AA49" i="1"/>
  <c r="Y49" i="1"/>
  <c r="W49" i="1"/>
  <c r="T49" i="1"/>
  <c r="R49" i="1"/>
  <c r="S49" i="1" s="1"/>
  <c r="O49" i="1"/>
  <c r="Q49" i="1" s="1"/>
  <c r="K49" i="1"/>
  <c r="M49" i="1" s="1"/>
  <c r="G49" i="1"/>
  <c r="I49" i="1" s="1"/>
  <c r="E49" i="1"/>
  <c r="C49" i="1"/>
  <c r="B49" i="1"/>
  <c r="A49" i="1"/>
  <c r="AA48" i="1"/>
  <c r="Y48" i="1"/>
  <c r="W48" i="1"/>
  <c r="T48" i="1"/>
  <c r="U48" i="1" s="1"/>
  <c r="R48" i="1"/>
  <c r="S48" i="1" s="1"/>
  <c r="Q48" i="1"/>
  <c r="O48" i="1"/>
  <c r="K48" i="1"/>
  <c r="M48" i="1" s="1"/>
  <c r="G48" i="1"/>
  <c r="I48" i="1" s="1"/>
  <c r="E48" i="1"/>
  <c r="C48" i="1"/>
  <c r="B48" i="1"/>
  <c r="A48" i="1"/>
  <c r="AA47" i="1"/>
  <c r="Y47" i="1"/>
  <c r="W47" i="1"/>
  <c r="R47" i="1"/>
  <c r="S47" i="1" s="1"/>
  <c r="O47" i="1"/>
  <c r="M47" i="1"/>
  <c r="K47" i="1"/>
  <c r="G47" i="1"/>
  <c r="I47" i="1" s="1"/>
  <c r="E47" i="1"/>
  <c r="C47" i="1"/>
  <c r="B47" i="1"/>
  <c r="A47" i="1"/>
  <c r="AA46" i="1"/>
  <c r="Y46" i="1"/>
  <c r="W46" i="1"/>
  <c r="R46" i="1"/>
  <c r="S46" i="1" s="1"/>
  <c r="O46" i="1"/>
  <c r="Q46" i="1" s="1"/>
  <c r="K46" i="1"/>
  <c r="G46" i="1"/>
  <c r="I46" i="1" s="1"/>
  <c r="E46" i="1"/>
  <c r="C46" i="1"/>
  <c r="B46" i="1"/>
  <c r="A46" i="1"/>
  <c r="AA45" i="1"/>
  <c r="Y45" i="1"/>
  <c r="W45" i="1"/>
  <c r="R45" i="1"/>
  <c r="S45" i="1" s="1"/>
  <c r="O45" i="1"/>
  <c r="Q45" i="1" s="1"/>
  <c r="K45" i="1"/>
  <c r="M45" i="1" s="1"/>
  <c r="G45" i="1"/>
  <c r="E45" i="1"/>
  <c r="C45" i="1"/>
  <c r="B45" i="1"/>
  <c r="A45" i="1"/>
  <c r="AA44" i="1"/>
  <c r="Y44" i="1"/>
  <c r="W44" i="1"/>
  <c r="R44" i="1"/>
  <c r="S44" i="1" s="1"/>
  <c r="Q44" i="1"/>
  <c r="O44" i="1"/>
  <c r="K44" i="1"/>
  <c r="M44" i="1" s="1"/>
  <c r="G44" i="1"/>
  <c r="T44" i="1" s="1"/>
  <c r="E44" i="1"/>
  <c r="C44" i="1"/>
  <c r="B44" i="1"/>
  <c r="A44" i="1"/>
  <c r="AA43" i="1"/>
  <c r="Y43" i="1"/>
  <c r="W43" i="1"/>
  <c r="T43" i="1"/>
  <c r="R43" i="1"/>
  <c r="S43" i="1" s="1"/>
  <c r="O43" i="1"/>
  <c r="Q43" i="1" s="1"/>
  <c r="M43" i="1"/>
  <c r="K43" i="1"/>
  <c r="G43" i="1"/>
  <c r="I43" i="1" s="1"/>
  <c r="E43" i="1"/>
  <c r="C43" i="1"/>
  <c r="B43" i="1"/>
  <c r="A43" i="1"/>
  <c r="AA42" i="1"/>
  <c r="Y42" i="1"/>
  <c r="W42" i="1"/>
  <c r="U42" i="1"/>
  <c r="T42" i="1"/>
  <c r="AD42" i="1" s="1"/>
  <c r="R42" i="1"/>
  <c r="S42" i="1" s="1"/>
  <c r="O42" i="1"/>
  <c r="Q42" i="1" s="1"/>
  <c r="K42" i="1"/>
  <c r="M42" i="1" s="1"/>
  <c r="G42" i="1"/>
  <c r="I42" i="1" s="1"/>
  <c r="E42" i="1"/>
  <c r="C42" i="1"/>
  <c r="B42" i="1"/>
  <c r="A42" i="1"/>
  <c r="AA41" i="1"/>
  <c r="Y41" i="1"/>
  <c r="W41" i="1"/>
  <c r="T41" i="1"/>
  <c r="S41" i="1"/>
  <c r="R41" i="1"/>
  <c r="O41" i="1"/>
  <c r="Q41" i="1" s="1"/>
  <c r="K41" i="1"/>
  <c r="M41" i="1" s="1"/>
  <c r="G41" i="1"/>
  <c r="I41" i="1" s="1"/>
  <c r="E41" i="1"/>
  <c r="C41" i="1"/>
  <c r="B41" i="1"/>
  <c r="A41" i="1"/>
  <c r="AA40" i="1"/>
  <c r="Y40" i="1"/>
  <c r="W40" i="1"/>
  <c r="T40" i="1"/>
  <c r="AD40" i="1" s="1"/>
  <c r="R40" i="1"/>
  <c r="S40" i="1" s="1"/>
  <c r="O40" i="1"/>
  <c r="Q40" i="1" s="1"/>
  <c r="M40" i="1"/>
  <c r="K40" i="1"/>
  <c r="G40" i="1"/>
  <c r="I40" i="1" s="1"/>
  <c r="E40" i="1"/>
  <c r="C40" i="1"/>
  <c r="B40" i="1"/>
  <c r="A40" i="1"/>
  <c r="AA39" i="1"/>
  <c r="Y39" i="1"/>
  <c r="W39" i="1"/>
  <c r="R39" i="1"/>
  <c r="S39" i="1" s="1"/>
  <c r="O39" i="1"/>
  <c r="Q39" i="1" s="1"/>
  <c r="K39" i="1"/>
  <c r="M39" i="1" s="1"/>
  <c r="G39" i="1"/>
  <c r="I39" i="1" s="1"/>
  <c r="E39" i="1"/>
  <c r="C39" i="1"/>
  <c r="B39" i="1"/>
  <c r="A39" i="1"/>
  <c r="AA38" i="1"/>
  <c r="Y38" i="1"/>
  <c r="W38" i="1"/>
  <c r="U38" i="1"/>
  <c r="R38" i="1"/>
  <c r="S38" i="1" s="1"/>
  <c r="Q38" i="1"/>
  <c r="O38" i="1"/>
  <c r="K38" i="1"/>
  <c r="M38" i="1" s="1"/>
  <c r="G38" i="1"/>
  <c r="T38" i="1" s="1"/>
  <c r="E38" i="1"/>
  <c r="C38" i="1"/>
  <c r="B38" i="1"/>
  <c r="A38" i="1"/>
  <c r="AA37" i="1"/>
  <c r="Y37" i="1"/>
  <c r="W37" i="1"/>
  <c r="R37" i="1"/>
  <c r="S37" i="1" s="1"/>
  <c r="U37" i="1" s="1"/>
  <c r="O37" i="1"/>
  <c r="Q37" i="1" s="1"/>
  <c r="K37" i="1"/>
  <c r="M37" i="1" s="1"/>
  <c r="I37" i="1"/>
  <c r="G37" i="1"/>
  <c r="T37" i="1" s="1"/>
  <c r="E37" i="1"/>
  <c r="C37" i="1"/>
  <c r="B37" i="1"/>
  <c r="A37" i="1"/>
  <c r="AA36" i="1"/>
  <c r="Y36" i="1"/>
  <c r="W36" i="1"/>
  <c r="R36" i="1"/>
  <c r="S36" i="1" s="1"/>
  <c r="Q36" i="1"/>
  <c r="O36" i="1"/>
  <c r="K36" i="1"/>
  <c r="I36" i="1"/>
  <c r="G36" i="1"/>
  <c r="E36" i="1"/>
  <c r="C36" i="1"/>
  <c r="B36" i="1"/>
  <c r="A36" i="1"/>
  <c r="AA35" i="1"/>
  <c r="Y35" i="1"/>
  <c r="W35" i="1"/>
  <c r="R35" i="1"/>
  <c r="S35" i="1" s="1"/>
  <c r="O35" i="1"/>
  <c r="Q35" i="1" s="1"/>
  <c r="M35" i="1"/>
  <c r="K35" i="1"/>
  <c r="G35" i="1"/>
  <c r="I35" i="1" s="1"/>
  <c r="E35" i="1"/>
  <c r="C35" i="1"/>
  <c r="B35" i="1"/>
  <c r="A35" i="1"/>
  <c r="AA34" i="1"/>
  <c r="Y34" i="1"/>
  <c r="W34" i="1"/>
  <c r="R34" i="1"/>
  <c r="S34" i="1" s="1"/>
  <c r="O34" i="1"/>
  <c r="Q34" i="1" s="1"/>
  <c r="K34" i="1"/>
  <c r="M34" i="1" s="1"/>
  <c r="G34" i="1"/>
  <c r="I34" i="1" s="1"/>
  <c r="E34" i="1"/>
  <c r="C34" i="1"/>
  <c r="B34" i="1"/>
  <c r="A34" i="1"/>
  <c r="AA33" i="1"/>
  <c r="Y33" i="1"/>
  <c r="W33" i="1"/>
  <c r="R33" i="1"/>
  <c r="S33" i="1" s="1"/>
  <c r="O33" i="1"/>
  <c r="Q33" i="1" s="1"/>
  <c r="K33" i="1"/>
  <c r="M33" i="1" s="1"/>
  <c r="G33" i="1"/>
  <c r="T33" i="1" s="1"/>
  <c r="E33" i="1"/>
  <c r="C33" i="1"/>
  <c r="B33" i="1"/>
  <c r="A33" i="1"/>
  <c r="AA32" i="1"/>
  <c r="Y32" i="1"/>
  <c r="W32" i="1"/>
  <c r="T32" i="1"/>
  <c r="AD32" i="1" s="1"/>
  <c r="R32" i="1"/>
  <c r="S32" i="1" s="1"/>
  <c r="O32" i="1"/>
  <c r="Q32" i="1" s="1"/>
  <c r="K32" i="1"/>
  <c r="M32" i="1" s="1"/>
  <c r="I32" i="1"/>
  <c r="G32" i="1"/>
  <c r="E32" i="1"/>
  <c r="C32" i="1"/>
  <c r="B32" i="1"/>
  <c r="A32" i="1"/>
  <c r="AA31" i="1"/>
  <c r="Y31" i="1"/>
  <c r="W31" i="1"/>
  <c r="R31" i="1"/>
  <c r="S31" i="1" s="1"/>
  <c r="O31" i="1"/>
  <c r="Q31" i="1" s="1"/>
  <c r="K31" i="1"/>
  <c r="M31" i="1" s="1"/>
  <c r="G31" i="1"/>
  <c r="I31" i="1" s="1"/>
  <c r="E31" i="1"/>
  <c r="C31" i="1"/>
  <c r="B31" i="1"/>
  <c r="A31" i="1"/>
  <c r="AA30" i="1"/>
  <c r="Y30" i="1"/>
  <c r="W30" i="1"/>
  <c r="R30" i="1"/>
  <c r="S30" i="1" s="1"/>
  <c r="O30" i="1"/>
  <c r="Q30" i="1" s="1"/>
  <c r="K30" i="1"/>
  <c r="M30" i="1" s="1"/>
  <c r="G30" i="1"/>
  <c r="I30" i="1" s="1"/>
  <c r="E30" i="1"/>
  <c r="C30" i="1"/>
  <c r="B30" i="1"/>
  <c r="A30" i="1"/>
  <c r="AA29" i="1"/>
  <c r="Y29" i="1"/>
  <c r="W29" i="1"/>
  <c r="S29" i="1"/>
  <c r="R29" i="1"/>
  <c r="O29" i="1"/>
  <c r="Q29" i="1" s="1"/>
  <c r="K29" i="1"/>
  <c r="M29" i="1" s="1"/>
  <c r="G29" i="1"/>
  <c r="T29" i="1" s="1"/>
  <c r="E29" i="1"/>
  <c r="C29" i="1"/>
  <c r="B29" i="1"/>
  <c r="A29" i="1"/>
  <c r="AA28" i="1"/>
  <c r="Y28" i="1"/>
  <c r="W28" i="1"/>
  <c r="R28" i="1"/>
  <c r="S28" i="1" s="1"/>
  <c r="O28" i="1"/>
  <c r="Q28" i="1" s="1"/>
  <c r="K28" i="1"/>
  <c r="M28" i="1" s="1"/>
  <c r="G28" i="1"/>
  <c r="I28" i="1" s="1"/>
  <c r="E28" i="1"/>
  <c r="C28" i="1"/>
  <c r="B28" i="1"/>
  <c r="A28" i="1"/>
  <c r="AA27" i="1"/>
  <c r="Y27" i="1"/>
  <c r="W27" i="1"/>
  <c r="R27" i="1"/>
  <c r="S27" i="1" s="1"/>
  <c r="O27" i="1"/>
  <c r="Q27" i="1" s="1"/>
  <c r="M27" i="1"/>
  <c r="K27" i="1"/>
  <c r="G27" i="1"/>
  <c r="I27" i="1" s="1"/>
  <c r="E27" i="1"/>
  <c r="C27" i="1"/>
  <c r="B27" i="1"/>
  <c r="A27" i="1"/>
  <c r="AA26" i="1"/>
  <c r="Y26" i="1"/>
  <c r="W26" i="1"/>
  <c r="R26" i="1"/>
  <c r="S26" i="1" s="1"/>
  <c r="Q26" i="1"/>
  <c r="O26" i="1"/>
  <c r="K26" i="1"/>
  <c r="M26" i="1" s="1"/>
  <c r="G26" i="1"/>
  <c r="I26" i="1" s="1"/>
  <c r="E26" i="1"/>
  <c r="C26" i="1"/>
  <c r="B26" i="1"/>
  <c r="A26" i="1"/>
  <c r="AA25" i="1"/>
  <c r="Y25" i="1"/>
  <c r="W25" i="1"/>
  <c r="T25" i="1"/>
  <c r="S25" i="1"/>
  <c r="R25" i="1"/>
  <c r="O25" i="1"/>
  <c r="Q25" i="1" s="1"/>
  <c r="K25" i="1"/>
  <c r="M25" i="1" s="1"/>
  <c r="G25" i="1"/>
  <c r="I25" i="1" s="1"/>
  <c r="E25" i="1"/>
  <c r="C25" i="1"/>
  <c r="B25" i="1"/>
  <c r="A25" i="1"/>
  <c r="AA24" i="1"/>
  <c r="Y24" i="1"/>
  <c r="W24" i="1"/>
  <c r="R24" i="1"/>
  <c r="S24" i="1" s="1"/>
  <c r="O24" i="1"/>
  <c r="Q24" i="1" s="1"/>
  <c r="K24" i="1"/>
  <c r="M24" i="1" s="1"/>
  <c r="G24" i="1"/>
  <c r="T24" i="1" s="1"/>
  <c r="E24" i="1"/>
  <c r="C24" i="1"/>
  <c r="B24" i="1"/>
  <c r="A24" i="1"/>
  <c r="AA23" i="1"/>
  <c r="Y23" i="1"/>
  <c r="W23" i="1"/>
  <c r="R23" i="1"/>
  <c r="S23" i="1" s="1"/>
  <c r="O23" i="1"/>
  <c r="Q23" i="1" s="1"/>
  <c r="M23" i="1"/>
  <c r="K23" i="1"/>
  <c r="G23" i="1"/>
  <c r="I23" i="1" s="1"/>
  <c r="E23" i="1"/>
  <c r="C23" i="1"/>
  <c r="B23" i="1"/>
  <c r="A23" i="1"/>
  <c r="AA22" i="1"/>
  <c r="Y22" i="1"/>
  <c r="W22" i="1"/>
  <c r="R22" i="1"/>
  <c r="S22" i="1" s="1"/>
  <c r="Q22" i="1"/>
  <c r="O22" i="1"/>
  <c r="K22" i="1"/>
  <c r="M22" i="1" s="1"/>
  <c r="G22" i="1"/>
  <c r="I22" i="1" s="1"/>
  <c r="E22" i="1"/>
  <c r="C22" i="1"/>
  <c r="B22" i="1"/>
  <c r="A22" i="1"/>
  <c r="AA21" i="1"/>
  <c r="Y21" i="1"/>
  <c r="W21" i="1"/>
  <c r="R21" i="1"/>
  <c r="S21" i="1" s="1"/>
  <c r="O21" i="1"/>
  <c r="Q21" i="1" s="1"/>
  <c r="K21" i="1"/>
  <c r="M21" i="1" s="1"/>
  <c r="G21" i="1"/>
  <c r="I21" i="1" s="1"/>
  <c r="E21" i="1"/>
  <c r="C21" i="1"/>
  <c r="B21" i="1"/>
  <c r="A21" i="1"/>
  <c r="AA20" i="1"/>
  <c r="Y20" i="1"/>
  <c r="W20" i="1"/>
  <c r="T20" i="1"/>
  <c r="AD20" i="1" s="1"/>
  <c r="R20" i="1"/>
  <c r="S20" i="1" s="1"/>
  <c r="O20" i="1"/>
  <c r="Q20" i="1" s="1"/>
  <c r="K20" i="1"/>
  <c r="M20" i="1" s="1"/>
  <c r="I20" i="1"/>
  <c r="G20" i="1"/>
  <c r="E20" i="1"/>
  <c r="C20" i="1"/>
  <c r="B20" i="1"/>
  <c r="A20" i="1"/>
  <c r="AA19" i="1"/>
  <c r="Y19" i="1"/>
  <c r="W19" i="1"/>
  <c r="R19" i="1"/>
  <c r="S19" i="1" s="1"/>
  <c r="O19" i="1"/>
  <c r="Q19" i="1" s="1"/>
  <c r="K19" i="1"/>
  <c r="M19" i="1" s="1"/>
  <c r="G19" i="1"/>
  <c r="I19" i="1" s="1"/>
  <c r="E19" i="1"/>
  <c r="C19" i="1"/>
  <c r="B19" i="1"/>
  <c r="A19" i="1"/>
  <c r="AA18" i="1"/>
  <c r="Y18" i="1"/>
  <c r="W18" i="1"/>
  <c r="R18" i="1"/>
  <c r="S18" i="1" s="1"/>
  <c r="O18" i="1"/>
  <c r="Q18" i="1" s="1"/>
  <c r="K18" i="1"/>
  <c r="M18" i="1" s="1"/>
  <c r="G18" i="1"/>
  <c r="I18" i="1" s="1"/>
  <c r="E18" i="1"/>
  <c r="C18" i="1"/>
  <c r="B18" i="1"/>
  <c r="A18" i="1"/>
  <c r="AA17" i="1"/>
  <c r="Y17" i="1"/>
  <c r="W17" i="1"/>
  <c r="R17" i="1"/>
  <c r="S17" i="1" s="1"/>
  <c r="O17" i="1"/>
  <c r="Q17" i="1" s="1"/>
  <c r="K17" i="1"/>
  <c r="M17" i="1" s="1"/>
  <c r="G17" i="1"/>
  <c r="I17" i="1" s="1"/>
  <c r="E17" i="1"/>
  <c r="C17" i="1"/>
  <c r="B17" i="1"/>
  <c r="A17" i="1"/>
  <c r="AA16" i="1"/>
  <c r="Y16" i="1"/>
  <c r="W16" i="1"/>
  <c r="R16" i="1"/>
  <c r="S16" i="1" s="1"/>
  <c r="O16" i="1"/>
  <c r="Q16" i="1" s="1"/>
  <c r="K16" i="1"/>
  <c r="M16" i="1" s="1"/>
  <c r="G16" i="1"/>
  <c r="T16" i="1" s="1"/>
  <c r="E16" i="1"/>
  <c r="C16" i="1"/>
  <c r="B16" i="1"/>
  <c r="A16" i="1"/>
  <c r="AA15" i="1"/>
  <c r="Y15" i="1"/>
  <c r="W15" i="1"/>
  <c r="R15" i="1"/>
  <c r="S15" i="1" s="1"/>
  <c r="O15" i="1"/>
  <c r="Q15" i="1" s="1"/>
  <c r="M15" i="1"/>
  <c r="K15" i="1"/>
  <c r="G15" i="1"/>
  <c r="I15" i="1" s="1"/>
  <c r="E15" i="1"/>
  <c r="C15" i="1"/>
  <c r="B15" i="1"/>
  <c r="A15" i="1"/>
  <c r="AA14" i="1"/>
  <c r="Y14" i="1"/>
  <c r="W14" i="1"/>
  <c r="R14" i="1"/>
  <c r="S14" i="1" s="1"/>
  <c r="O14" i="1"/>
  <c r="Q14" i="1" s="1"/>
  <c r="K14" i="1"/>
  <c r="M14" i="1" s="1"/>
  <c r="G14" i="1"/>
  <c r="I14" i="1" s="1"/>
  <c r="E14" i="1"/>
  <c r="C14" i="1"/>
  <c r="B14" i="1"/>
  <c r="A14" i="1"/>
  <c r="AA13" i="1"/>
  <c r="Y13" i="1"/>
  <c r="W13" i="1"/>
  <c r="T13" i="1"/>
  <c r="S13" i="1"/>
  <c r="R13" i="1"/>
  <c r="O13" i="1"/>
  <c r="Q13" i="1" s="1"/>
  <c r="K13" i="1"/>
  <c r="M13" i="1" s="1"/>
  <c r="G13" i="1"/>
  <c r="I13" i="1" s="1"/>
  <c r="E13" i="1"/>
  <c r="C13" i="1"/>
  <c r="B13" i="1"/>
  <c r="A13" i="1"/>
  <c r="AA12" i="1"/>
  <c r="Y12" i="1"/>
  <c r="W12" i="1"/>
  <c r="T12" i="1"/>
  <c r="AD12" i="1" s="1"/>
  <c r="R12" i="1"/>
  <c r="S12" i="1" s="1"/>
  <c r="O12" i="1"/>
  <c r="Q12" i="1" s="1"/>
  <c r="K12" i="1"/>
  <c r="M12" i="1" s="1"/>
  <c r="G12" i="1"/>
  <c r="I12" i="1" s="1"/>
  <c r="E12" i="1"/>
  <c r="C12" i="1"/>
  <c r="B12" i="1"/>
  <c r="A12" i="1"/>
  <c r="AA11" i="1"/>
  <c r="Y11" i="1"/>
  <c r="W11" i="1"/>
  <c r="R11" i="1"/>
  <c r="S11" i="1" s="1"/>
  <c r="O11" i="1"/>
  <c r="Q11" i="1" s="1"/>
  <c r="K11" i="1"/>
  <c r="M11" i="1" s="1"/>
  <c r="G11" i="1"/>
  <c r="I11" i="1" s="1"/>
  <c r="E11" i="1"/>
  <c r="C11" i="1"/>
  <c r="B11" i="1"/>
  <c r="A11" i="1"/>
  <c r="AA10" i="1"/>
  <c r="Y10" i="1"/>
  <c r="W10" i="1"/>
  <c r="R10" i="1"/>
  <c r="S10" i="1" s="1"/>
  <c r="Q10" i="1"/>
  <c r="O10" i="1"/>
  <c r="K10" i="1"/>
  <c r="M10" i="1" s="1"/>
  <c r="G10" i="1"/>
  <c r="I10" i="1" s="1"/>
  <c r="E10" i="1"/>
  <c r="C10" i="1"/>
  <c r="B10" i="1"/>
  <c r="A10" i="1"/>
  <c r="AA9" i="1"/>
  <c r="Y9" i="1"/>
  <c r="W9" i="1"/>
  <c r="T9" i="1"/>
  <c r="R9" i="1"/>
  <c r="S9" i="1" s="1"/>
  <c r="O9" i="1"/>
  <c r="Q9" i="1" s="1"/>
  <c r="K9" i="1"/>
  <c r="M9" i="1" s="1"/>
  <c r="G9" i="1"/>
  <c r="I9" i="1" s="1"/>
  <c r="E9" i="1"/>
  <c r="C9" i="1"/>
  <c r="B9" i="1"/>
  <c r="A9" i="1"/>
  <c r="AA8" i="1"/>
  <c r="Y8" i="1"/>
  <c r="W8" i="1"/>
  <c r="R8" i="1"/>
  <c r="S8" i="1" s="1"/>
  <c r="O8" i="1"/>
  <c r="Q8" i="1" s="1"/>
  <c r="K8" i="1"/>
  <c r="M8" i="1" s="1"/>
  <c r="G8" i="1"/>
  <c r="T8" i="1" s="1"/>
  <c r="E8" i="1"/>
  <c r="C8" i="1"/>
  <c r="B8" i="1"/>
  <c r="A8" i="1"/>
  <c r="AA7" i="1"/>
  <c r="Y7" i="1"/>
  <c r="W7" i="1"/>
  <c r="R7" i="1"/>
  <c r="S7" i="1" s="1"/>
  <c r="O7" i="1"/>
  <c r="Q7" i="1" s="1"/>
  <c r="M7" i="1"/>
  <c r="K7" i="1"/>
  <c r="G7" i="1"/>
  <c r="I7" i="1" s="1"/>
  <c r="E7" i="1"/>
  <c r="C7" i="1"/>
  <c r="B7" i="1"/>
  <c r="A7" i="1"/>
  <c r="AA6" i="1"/>
  <c r="Y6" i="1"/>
  <c r="W6" i="1"/>
  <c r="R6" i="1"/>
  <c r="S6" i="1" s="1"/>
  <c r="O6" i="1"/>
  <c r="T6" i="1" s="1"/>
  <c r="U6" i="1" s="1"/>
  <c r="K6" i="1"/>
  <c r="M6" i="1" s="1"/>
  <c r="G6" i="1"/>
  <c r="I6" i="1" s="1"/>
  <c r="E6" i="1"/>
  <c r="C6" i="1"/>
  <c r="B6" i="1"/>
  <c r="A6" i="1"/>
  <c r="AA5" i="1"/>
  <c r="Y5" i="1"/>
  <c r="W5" i="1"/>
  <c r="R5" i="1"/>
  <c r="S5" i="1" s="1"/>
  <c r="O5" i="1"/>
  <c r="Q5" i="1" s="1"/>
  <c r="K5" i="1"/>
  <c r="M5" i="1" s="1"/>
  <c r="G5" i="1"/>
  <c r="T5" i="1" s="1"/>
  <c r="E5" i="1"/>
  <c r="C5" i="1"/>
  <c r="B5" i="1"/>
  <c r="A5" i="1"/>
  <c r="AA4" i="1"/>
  <c r="Y4" i="1"/>
  <c r="W4" i="1"/>
  <c r="T4" i="1"/>
  <c r="AD4" i="1" s="1"/>
  <c r="R4" i="1"/>
  <c r="S4" i="1" s="1"/>
  <c r="O4" i="1"/>
  <c r="Q4" i="1" s="1"/>
  <c r="K4" i="1"/>
  <c r="M4" i="1" s="1"/>
  <c r="I4" i="1"/>
  <c r="G4" i="1"/>
  <c r="E4" i="1"/>
  <c r="C4" i="1"/>
  <c r="B4" i="1"/>
  <c r="A4" i="1"/>
  <c r="AA3" i="1"/>
  <c r="Y3" i="1"/>
  <c r="W3" i="1"/>
  <c r="R3" i="1"/>
  <c r="S3" i="1" s="1"/>
  <c r="O3" i="1"/>
  <c r="Q3" i="1" s="1"/>
  <c r="K3" i="1"/>
  <c r="M3" i="1" s="1"/>
  <c r="G3" i="1"/>
  <c r="I3" i="1" s="1"/>
  <c r="E3" i="1"/>
  <c r="C3" i="1"/>
  <c r="B3" i="1"/>
  <c r="A3" i="1"/>
  <c r="AA2" i="1"/>
  <c r="Y2" i="1"/>
  <c r="W2" i="1"/>
  <c r="R2" i="1"/>
  <c r="S2" i="1" s="1"/>
  <c r="O2" i="1"/>
  <c r="Q2" i="1" s="1"/>
  <c r="K2" i="1"/>
  <c r="M2" i="1" s="1"/>
  <c r="G2" i="1"/>
  <c r="T2" i="1" s="1"/>
  <c r="AD2" i="1" s="1"/>
  <c r="E2" i="1"/>
  <c r="C2" i="1"/>
  <c r="B2" i="1"/>
  <c r="A2" i="1"/>
  <c r="AD8" i="1" l="1"/>
  <c r="U8" i="1"/>
  <c r="AD16" i="1"/>
  <c r="U16" i="1"/>
  <c r="AD24" i="1"/>
  <c r="U24" i="1"/>
  <c r="Q47" i="1"/>
  <c r="T47" i="1"/>
  <c r="AD139" i="1"/>
  <c r="U139" i="1"/>
  <c r="U12" i="1"/>
  <c r="AD38" i="1"/>
  <c r="I44" i="1"/>
  <c r="T61" i="1"/>
  <c r="I61" i="1"/>
  <c r="I45" i="1"/>
  <c r="T45" i="1"/>
  <c r="AD63" i="1"/>
  <c r="U63" i="1"/>
  <c r="I72" i="1"/>
  <c r="T72" i="1"/>
  <c r="T145" i="1"/>
  <c r="I145" i="1"/>
  <c r="AD160" i="1"/>
  <c r="U160" i="1"/>
  <c r="U29" i="1"/>
  <c r="AD29" i="1"/>
  <c r="U87" i="1"/>
  <c r="AD87" i="1"/>
  <c r="U2" i="1"/>
  <c r="AD6" i="1"/>
  <c r="U13" i="1"/>
  <c r="I24" i="1"/>
  <c r="T28" i="1"/>
  <c r="AD41" i="1"/>
  <c r="U41" i="1"/>
  <c r="I51" i="1"/>
  <c r="T51" i="1"/>
  <c r="AD55" i="1"/>
  <c r="U55" i="1"/>
  <c r="AD56" i="1"/>
  <c r="U56" i="1"/>
  <c r="AD62" i="1"/>
  <c r="M63" i="1"/>
  <c r="U101" i="1"/>
  <c r="AD101" i="1"/>
  <c r="AD115" i="1"/>
  <c r="U115" i="1"/>
  <c r="I16" i="1"/>
  <c r="AD43" i="1"/>
  <c r="U43" i="1"/>
  <c r="U109" i="1"/>
  <c r="U4" i="1"/>
  <c r="U5" i="1"/>
  <c r="AD5" i="1"/>
  <c r="U9" i="1"/>
  <c r="U32" i="1"/>
  <c r="U33" i="1"/>
  <c r="AD33" i="1"/>
  <c r="I38" i="1"/>
  <c r="AD50" i="1"/>
  <c r="Q53" i="1"/>
  <c r="T53" i="1"/>
  <c r="U20" i="1"/>
  <c r="U25" i="1"/>
  <c r="I149" i="1"/>
  <c r="T149" i="1"/>
  <c r="I8" i="1"/>
  <c r="AD44" i="1"/>
  <c r="U44" i="1"/>
  <c r="Q6" i="1"/>
  <c r="M36" i="1"/>
  <c r="T36" i="1"/>
  <c r="U40" i="1"/>
  <c r="M46" i="1"/>
  <c r="T46" i="1"/>
  <c r="T39" i="1"/>
  <c r="AD92" i="1"/>
  <c r="U92" i="1"/>
  <c r="T121" i="1"/>
  <c r="I121" i="1"/>
  <c r="AD37" i="1"/>
  <c r="M52" i="1"/>
  <c r="T52" i="1"/>
  <c r="AD231" i="1"/>
  <c r="U231" i="1"/>
  <c r="I86" i="1"/>
  <c r="T86" i="1"/>
  <c r="T10" i="1"/>
  <c r="I2" i="1"/>
  <c r="T3" i="1"/>
  <c r="T11" i="1"/>
  <c r="T19" i="1"/>
  <c r="T23" i="1"/>
  <c r="T27" i="1"/>
  <c r="T31" i="1"/>
  <c r="T35" i="1"/>
  <c r="I64" i="1"/>
  <c r="U68" i="1"/>
  <c r="T84" i="1"/>
  <c r="AD112" i="1"/>
  <c r="U129" i="1"/>
  <c r="I146" i="1"/>
  <c r="T146" i="1"/>
  <c r="U152" i="1"/>
  <c r="T176" i="1"/>
  <c r="M176" i="1"/>
  <c r="T227" i="1"/>
  <c r="I227" i="1"/>
  <c r="U49" i="1"/>
  <c r="AD49" i="1"/>
  <c r="T60" i="1"/>
  <c r="I60" i="1"/>
  <c r="T7" i="1"/>
  <c r="T15" i="1"/>
  <c r="AD9" i="1"/>
  <c r="AD13" i="1"/>
  <c r="AD25" i="1"/>
  <c r="AD48" i="1"/>
  <c r="T66" i="1"/>
  <c r="AD67" i="1"/>
  <c r="T88" i="1"/>
  <c r="I88" i="1"/>
  <c r="AD111" i="1"/>
  <c r="T116" i="1"/>
  <c r="AD156" i="1"/>
  <c r="U156" i="1"/>
  <c r="U177" i="1"/>
  <c r="I220" i="1"/>
  <c r="T220" i="1"/>
  <c r="U165" i="1"/>
  <c r="AD165" i="1"/>
  <c r="T17" i="1"/>
  <c r="T21" i="1"/>
  <c r="U173" i="1"/>
  <c r="T194" i="1"/>
  <c r="M194" i="1"/>
  <c r="I208" i="1"/>
  <c r="T208" i="1"/>
  <c r="Q211" i="1"/>
  <c r="T211" i="1"/>
  <c r="M217" i="1"/>
  <c r="AD268" i="1"/>
  <c r="U268" i="1"/>
  <c r="AD272" i="1"/>
  <c r="U272" i="1"/>
  <c r="I5" i="1"/>
  <c r="I29" i="1"/>
  <c r="I33" i="1"/>
  <c r="I50" i="1"/>
  <c r="T65" i="1"/>
  <c r="T91" i="1"/>
  <c r="AD117" i="1"/>
  <c r="U117" i="1"/>
  <c r="AD143" i="1"/>
  <c r="I228" i="1"/>
  <c r="T228" i="1"/>
  <c r="U97" i="1"/>
  <c r="T14" i="1"/>
  <c r="T18" i="1"/>
  <c r="T22" i="1"/>
  <c r="T26" i="1"/>
  <c r="T30" i="1"/>
  <c r="T34" i="1"/>
  <c r="U54" i="1"/>
  <c r="U70" i="1"/>
  <c r="AD70" i="1"/>
  <c r="AD71" i="1"/>
  <c r="U77" i="1"/>
  <c r="AD77" i="1"/>
  <c r="U85" i="1"/>
  <c r="AD97" i="1"/>
  <c r="T107" i="1"/>
  <c r="U185" i="1"/>
  <c r="U197" i="1"/>
  <c r="AD197" i="1"/>
  <c r="T198" i="1"/>
  <c r="I198" i="1"/>
  <c r="I200" i="1"/>
  <c r="T200" i="1"/>
  <c r="AD222" i="1"/>
  <c r="U222" i="1"/>
  <c r="AD195" i="1"/>
  <c r="U195" i="1"/>
  <c r="T215" i="1"/>
  <c r="I215" i="1"/>
  <c r="I290" i="1"/>
  <c r="T290" i="1"/>
  <c r="AD54" i="1"/>
  <c r="T57" i="1"/>
  <c r="T58" i="1"/>
  <c r="AD64" i="1"/>
  <c r="U69" i="1"/>
  <c r="T74" i="1"/>
  <c r="AD76" i="1"/>
  <c r="U76" i="1"/>
  <c r="AD85" i="1"/>
  <c r="T89" i="1"/>
  <c r="I89" i="1"/>
  <c r="U112" i="1"/>
  <c r="AD124" i="1"/>
  <c r="U124" i="1"/>
  <c r="U140" i="1"/>
  <c r="U141" i="1"/>
  <c r="U153" i="1"/>
  <c r="AD153" i="1"/>
  <c r="AD190" i="1"/>
  <c r="U190" i="1"/>
  <c r="T119" i="1"/>
  <c r="T120" i="1"/>
  <c r="T151" i="1"/>
  <c r="U161" i="1"/>
  <c r="AD161" i="1"/>
  <c r="AD168" i="1"/>
  <c r="U168" i="1"/>
  <c r="U181" i="1"/>
  <c r="T202" i="1"/>
  <c r="T218" i="1"/>
  <c r="T219" i="1"/>
  <c r="AD240" i="1"/>
  <c r="U240" i="1"/>
  <c r="T75" i="1"/>
  <c r="T78" i="1"/>
  <c r="T80" i="1"/>
  <c r="T81" i="1"/>
  <c r="T104" i="1"/>
  <c r="T188" i="1"/>
  <c r="M188" i="1"/>
  <c r="U189" i="1"/>
  <c r="AD189" i="1"/>
  <c r="T204" i="1"/>
  <c r="I205" i="1"/>
  <c r="T205" i="1"/>
  <c r="AD206" i="1"/>
  <c r="I224" i="1"/>
  <c r="T224" i="1"/>
  <c r="I238" i="1"/>
  <c r="T238" i="1"/>
  <c r="U266" i="1"/>
  <c r="AD266" i="1"/>
  <c r="T79" i="1"/>
  <c r="T82" i="1"/>
  <c r="T99" i="1"/>
  <c r="T100" i="1"/>
  <c r="T131" i="1"/>
  <c r="U157" i="1"/>
  <c r="AD157" i="1"/>
  <c r="AD164" i="1"/>
  <c r="U164" i="1"/>
  <c r="T184" i="1"/>
  <c r="M184" i="1"/>
  <c r="U196" i="1"/>
  <c r="AD196" i="1"/>
  <c r="U213" i="1"/>
  <c r="AD213" i="1"/>
  <c r="T214" i="1"/>
  <c r="I232" i="1"/>
  <c r="T232" i="1"/>
  <c r="T83" i="1"/>
  <c r="T95" i="1"/>
  <c r="AD96" i="1"/>
  <c r="T127" i="1"/>
  <c r="AD128" i="1"/>
  <c r="U169" i="1"/>
  <c r="AD169" i="1"/>
  <c r="T180" i="1"/>
  <c r="M180" i="1"/>
  <c r="I221" i="1"/>
  <c r="T221" i="1"/>
  <c r="AD261" i="1"/>
  <c r="U261" i="1"/>
  <c r="T191" i="1"/>
  <c r="AD210" i="1"/>
  <c r="U210" i="1"/>
  <c r="T269" i="1"/>
  <c r="AD291" i="1"/>
  <c r="U291" i="1"/>
  <c r="T90" i="1"/>
  <c r="T94" i="1"/>
  <c r="T98" i="1"/>
  <c r="T102" i="1"/>
  <c r="T106" i="1"/>
  <c r="T110" i="1"/>
  <c r="T114" i="1"/>
  <c r="T118" i="1"/>
  <c r="T122" i="1"/>
  <c r="T126" i="1"/>
  <c r="T130" i="1"/>
  <c r="T142" i="1"/>
  <c r="T159" i="1"/>
  <c r="T163" i="1"/>
  <c r="T167" i="1"/>
  <c r="T171" i="1"/>
  <c r="T172" i="1"/>
  <c r="T212" i="1"/>
  <c r="I216" i="1"/>
  <c r="T216" i="1"/>
  <c r="T223" i="1"/>
  <c r="U271" i="1"/>
  <c r="AD271" i="1"/>
  <c r="T175" i="1"/>
  <c r="T179" i="1"/>
  <c r="T183" i="1"/>
  <c r="T187" i="1"/>
  <c r="I192" i="1"/>
  <c r="T192" i="1"/>
  <c r="T199" i="1"/>
  <c r="T209" i="1"/>
  <c r="I223" i="1"/>
  <c r="U239" i="1"/>
  <c r="AD239" i="1"/>
  <c r="U258" i="1"/>
  <c r="AD258" i="1"/>
  <c r="T235" i="1"/>
  <c r="T150" i="1"/>
  <c r="T154" i="1"/>
  <c r="T158" i="1"/>
  <c r="T162" i="1"/>
  <c r="T166" i="1"/>
  <c r="T170" i="1"/>
  <c r="T174" i="1"/>
  <c r="T178" i="1"/>
  <c r="T182" i="1"/>
  <c r="T186" i="1"/>
  <c r="T193" i="1"/>
  <c r="T201" i="1"/>
  <c r="T226" i="1"/>
  <c r="T230" i="1"/>
  <c r="T234" i="1"/>
  <c r="AD289" i="1"/>
  <c r="T237" i="1"/>
  <c r="T262" i="1"/>
  <c r="I270" i="1"/>
  <c r="T270" i="1"/>
  <c r="AD236" i="1"/>
  <c r="U253" i="1"/>
  <c r="T254" i="1"/>
  <c r="U255" i="1"/>
  <c r="AD260" i="1"/>
  <c r="U286" i="1"/>
  <c r="T225" i="1"/>
  <c r="T229" i="1"/>
  <c r="T233" i="1"/>
  <c r="T256" i="1"/>
  <c r="U282" i="1"/>
  <c r="T288" i="1"/>
  <c r="U246" i="1"/>
  <c r="T252" i="1"/>
  <c r="U278" i="1"/>
  <c r="T284" i="1"/>
  <c r="U242" i="1"/>
  <c r="T245" i="1"/>
  <c r="T248" i="1"/>
  <c r="U274" i="1"/>
  <c r="T277" i="1"/>
  <c r="T280" i="1"/>
  <c r="T241" i="1"/>
  <c r="T244" i="1"/>
  <c r="T273" i="1"/>
  <c r="T276" i="1"/>
  <c r="AD286" i="1"/>
  <c r="T292" i="1"/>
  <c r="U234" i="1" l="1"/>
  <c r="AD234" i="1"/>
  <c r="U110" i="1"/>
  <c r="AD110" i="1"/>
  <c r="U224" i="1"/>
  <c r="AD224" i="1"/>
  <c r="AD180" i="1"/>
  <c r="U180" i="1"/>
  <c r="AD248" i="1"/>
  <c r="U248" i="1"/>
  <c r="U174" i="1"/>
  <c r="AD174" i="1"/>
  <c r="U216" i="1"/>
  <c r="AD216" i="1"/>
  <c r="AD100" i="1"/>
  <c r="U100" i="1"/>
  <c r="AD65" i="1"/>
  <c r="U65" i="1"/>
  <c r="AD27" i="1"/>
  <c r="U27" i="1"/>
  <c r="AD256" i="1"/>
  <c r="U256" i="1"/>
  <c r="U187" i="1"/>
  <c r="AD187" i="1"/>
  <c r="U106" i="1"/>
  <c r="AD106" i="1"/>
  <c r="AD184" i="1"/>
  <c r="U184" i="1"/>
  <c r="U290" i="1"/>
  <c r="AD290" i="1"/>
  <c r="U21" i="1"/>
  <c r="AD21" i="1"/>
  <c r="U226" i="1"/>
  <c r="AD226" i="1"/>
  <c r="U183" i="1"/>
  <c r="AD183" i="1"/>
  <c r="U102" i="1"/>
  <c r="AD102" i="1"/>
  <c r="U82" i="1"/>
  <c r="AD82" i="1"/>
  <c r="AD151" i="1"/>
  <c r="U151" i="1"/>
  <c r="AD107" i="1"/>
  <c r="U107" i="1"/>
  <c r="AD116" i="1"/>
  <c r="U116" i="1"/>
  <c r="U39" i="1"/>
  <c r="AD39" i="1"/>
  <c r="AD61" i="1"/>
  <c r="U61" i="1"/>
  <c r="AD284" i="1"/>
  <c r="U284" i="1"/>
  <c r="U201" i="1"/>
  <c r="AD201" i="1"/>
  <c r="U179" i="1"/>
  <c r="AD179" i="1"/>
  <c r="U98" i="1"/>
  <c r="AD98" i="1"/>
  <c r="U79" i="1"/>
  <c r="AD79" i="1"/>
  <c r="AD218" i="1"/>
  <c r="U218" i="1"/>
  <c r="AD84" i="1"/>
  <c r="U84" i="1"/>
  <c r="AD52" i="1"/>
  <c r="U52" i="1"/>
  <c r="U241" i="1"/>
  <c r="AD241" i="1"/>
  <c r="U193" i="1"/>
  <c r="AD193" i="1"/>
  <c r="U171" i="1"/>
  <c r="AD171" i="1"/>
  <c r="AD202" i="1"/>
  <c r="U202" i="1"/>
  <c r="AD119" i="1"/>
  <c r="U119" i="1"/>
  <c r="AD215" i="1"/>
  <c r="U215" i="1"/>
  <c r="AD198" i="1"/>
  <c r="U198" i="1"/>
  <c r="U30" i="1"/>
  <c r="AD30" i="1"/>
  <c r="U208" i="1"/>
  <c r="AD208" i="1"/>
  <c r="AD15" i="1"/>
  <c r="U15" i="1"/>
  <c r="AD3" i="1"/>
  <c r="U3" i="1"/>
  <c r="AD149" i="1"/>
  <c r="U149" i="1"/>
  <c r="AD280" i="1"/>
  <c r="U280" i="1"/>
  <c r="AD252" i="1"/>
  <c r="U252" i="1"/>
  <c r="U262" i="1"/>
  <c r="AD262" i="1"/>
  <c r="U186" i="1"/>
  <c r="AD186" i="1"/>
  <c r="U154" i="1"/>
  <c r="AD154" i="1"/>
  <c r="U209" i="1"/>
  <c r="AD209" i="1"/>
  <c r="AD167" i="1"/>
  <c r="U167" i="1"/>
  <c r="U122" i="1"/>
  <c r="AD122" i="1"/>
  <c r="U90" i="1"/>
  <c r="AD90" i="1"/>
  <c r="U127" i="1"/>
  <c r="AD127" i="1"/>
  <c r="U204" i="1"/>
  <c r="AD204" i="1"/>
  <c r="AD80" i="1"/>
  <c r="U80" i="1"/>
  <c r="U26" i="1"/>
  <c r="AD26" i="1"/>
  <c r="U220" i="1"/>
  <c r="AD220" i="1"/>
  <c r="AD88" i="1"/>
  <c r="U88" i="1"/>
  <c r="AD7" i="1"/>
  <c r="U7" i="1"/>
  <c r="AD176" i="1"/>
  <c r="U176" i="1"/>
  <c r="U142" i="1"/>
  <c r="AD142" i="1"/>
  <c r="U83" i="1"/>
  <c r="AD83" i="1"/>
  <c r="U14" i="1"/>
  <c r="AD14" i="1"/>
  <c r="U53" i="1"/>
  <c r="AD53" i="1"/>
  <c r="AD276" i="1"/>
  <c r="U276" i="1"/>
  <c r="U170" i="1"/>
  <c r="AD170" i="1"/>
  <c r="AD232" i="1"/>
  <c r="U232" i="1"/>
  <c r="AD188" i="1"/>
  <c r="U188" i="1"/>
  <c r="U233" i="1"/>
  <c r="AD233" i="1"/>
  <c r="U166" i="1"/>
  <c r="AD166" i="1"/>
  <c r="U212" i="1"/>
  <c r="AD212" i="1"/>
  <c r="AD219" i="1"/>
  <c r="U219" i="1"/>
  <c r="AD211" i="1"/>
  <c r="U211" i="1"/>
  <c r="AD51" i="1"/>
  <c r="U51" i="1"/>
  <c r="AD145" i="1"/>
  <c r="U145" i="1"/>
  <c r="AD244" i="1"/>
  <c r="U244" i="1"/>
  <c r="U270" i="1"/>
  <c r="AD270" i="1"/>
  <c r="U130" i="1"/>
  <c r="AD130" i="1"/>
  <c r="AD214" i="1"/>
  <c r="U214" i="1"/>
  <c r="U205" i="1"/>
  <c r="AD205" i="1"/>
  <c r="AD120" i="1"/>
  <c r="U120" i="1"/>
  <c r="U34" i="1"/>
  <c r="AD34" i="1"/>
  <c r="AD11" i="1"/>
  <c r="U11" i="1"/>
  <c r="AD72" i="1"/>
  <c r="U72" i="1"/>
  <c r="U225" i="1"/>
  <c r="AD225" i="1"/>
  <c r="U158" i="1"/>
  <c r="AD158" i="1"/>
  <c r="U175" i="1"/>
  <c r="AD175" i="1"/>
  <c r="U94" i="1"/>
  <c r="AD94" i="1"/>
  <c r="U150" i="1"/>
  <c r="AD150" i="1"/>
  <c r="U163" i="1"/>
  <c r="AD163" i="1"/>
  <c r="U238" i="1"/>
  <c r="AD238" i="1"/>
  <c r="U58" i="1"/>
  <c r="AD58" i="1"/>
  <c r="U35" i="1"/>
  <c r="AD35" i="1"/>
  <c r="AD36" i="1"/>
  <c r="U36" i="1"/>
  <c r="AD28" i="1"/>
  <c r="U28" i="1"/>
  <c r="U254" i="1"/>
  <c r="AD254" i="1"/>
  <c r="U269" i="1"/>
  <c r="AD269" i="1"/>
  <c r="AD47" i="1"/>
  <c r="U47" i="1"/>
  <c r="U245" i="1"/>
  <c r="AD245" i="1"/>
  <c r="U230" i="1"/>
  <c r="AD230" i="1"/>
  <c r="U99" i="1"/>
  <c r="AD99" i="1"/>
  <c r="U200" i="1"/>
  <c r="AD200" i="1"/>
  <c r="AD23" i="1"/>
  <c r="U23" i="1"/>
  <c r="U273" i="1"/>
  <c r="AD273" i="1"/>
  <c r="AD228" i="1"/>
  <c r="U228" i="1"/>
  <c r="U17" i="1"/>
  <c r="AD17" i="1"/>
  <c r="AD19" i="1"/>
  <c r="U19" i="1"/>
  <c r="U229" i="1"/>
  <c r="AD229" i="1"/>
  <c r="U162" i="1"/>
  <c r="AD162" i="1"/>
  <c r="AD172" i="1"/>
  <c r="U172" i="1"/>
  <c r="AD191" i="1"/>
  <c r="U191" i="1"/>
  <c r="AD104" i="1"/>
  <c r="U104" i="1"/>
  <c r="U74" i="1"/>
  <c r="AD74" i="1"/>
  <c r="AD227" i="1"/>
  <c r="U227" i="1"/>
  <c r="U46" i="1"/>
  <c r="AD46" i="1"/>
  <c r="U126" i="1"/>
  <c r="AD126" i="1"/>
  <c r="U81" i="1"/>
  <c r="AD81" i="1"/>
  <c r="U277" i="1"/>
  <c r="AD277" i="1"/>
  <c r="U237" i="1"/>
  <c r="AD237" i="1"/>
  <c r="U182" i="1"/>
  <c r="AD182" i="1"/>
  <c r="AD199" i="1"/>
  <c r="U199" i="1"/>
  <c r="U118" i="1"/>
  <c r="AD118" i="1"/>
  <c r="U221" i="1"/>
  <c r="AD221" i="1"/>
  <c r="U78" i="1"/>
  <c r="AD78" i="1"/>
  <c r="U22" i="1"/>
  <c r="AD22" i="1"/>
  <c r="U10" i="1"/>
  <c r="AD10" i="1"/>
  <c r="AD292" i="1"/>
  <c r="U292" i="1"/>
  <c r="AD288" i="1"/>
  <c r="U288" i="1"/>
  <c r="U178" i="1"/>
  <c r="AD178" i="1"/>
  <c r="AD235" i="1"/>
  <c r="U235" i="1"/>
  <c r="U192" i="1"/>
  <c r="AD192" i="1"/>
  <c r="AD223" i="1"/>
  <c r="U223" i="1"/>
  <c r="U159" i="1"/>
  <c r="AD159" i="1"/>
  <c r="U114" i="1"/>
  <c r="AD114" i="1"/>
  <c r="U95" i="1"/>
  <c r="AD95" i="1"/>
  <c r="U131" i="1"/>
  <c r="U75" i="1"/>
  <c r="AD75" i="1"/>
  <c r="U89" i="1"/>
  <c r="AD89" i="1"/>
  <c r="U57" i="1"/>
  <c r="AD57" i="1"/>
  <c r="U18" i="1"/>
  <c r="AD18" i="1"/>
  <c r="U91" i="1"/>
  <c r="AD91" i="1"/>
  <c r="AD194" i="1"/>
  <c r="U194" i="1"/>
  <c r="U66" i="1"/>
  <c r="AD66" i="1"/>
  <c r="AD60" i="1"/>
  <c r="U60" i="1"/>
  <c r="U146" i="1"/>
  <c r="AD146" i="1"/>
  <c r="AD31" i="1"/>
  <c r="U31" i="1"/>
  <c r="U86" i="1"/>
  <c r="AD86" i="1"/>
  <c r="AD121" i="1"/>
  <c r="U121" i="1"/>
  <c r="U45" i="1"/>
  <c r="AD45" i="1"/>
</calcChain>
</file>

<file path=xl/sharedStrings.xml><?xml version="1.0" encoding="utf-8"?>
<sst xmlns="http://schemas.openxmlformats.org/spreadsheetml/2006/main" count="388" uniqueCount="96">
  <si>
    <t>Week start</t>
  </si>
  <si>
    <t>Day order</t>
  </si>
  <si>
    <t>Month</t>
  </si>
  <si>
    <t>Date</t>
  </si>
  <si>
    <t>Day</t>
  </si>
  <si>
    <t>5-9AM Count</t>
  </si>
  <si>
    <t>Planned AM Hours</t>
  </si>
  <si>
    <t>Overtime Hours</t>
  </si>
  <si>
    <t xml:space="preserve">Actual AM Hours </t>
  </si>
  <si>
    <t>11AM -12 PM Count</t>
  </si>
  <si>
    <t>Planned PM Hours</t>
  </si>
  <si>
    <t>Actual PM Hours</t>
  </si>
  <si>
    <t>Night Count</t>
  </si>
  <si>
    <t>Planned Night Hours</t>
  </si>
  <si>
    <t>Actual Night Hours</t>
  </si>
  <si>
    <t>Total Count</t>
  </si>
  <si>
    <t>Total planned</t>
  </si>
  <si>
    <t>Total Actual Hours</t>
  </si>
  <si>
    <t>Total Overtime</t>
  </si>
  <si>
    <t>Salaried Count</t>
  </si>
  <si>
    <t>Salaried Hours</t>
  </si>
  <si>
    <t>Holiday Count</t>
  </si>
  <si>
    <t>Holiday Hours</t>
  </si>
  <si>
    <t>Sick Count</t>
  </si>
  <si>
    <t>Sick Hours</t>
  </si>
  <si>
    <t>Agency Count</t>
  </si>
  <si>
    <t>Agency  Hours</t>
  </si>
  <si>
    <t>Total Hours</t>
  </si>
  <si>
    <t>Row Labels</t>
  </si>
  <si>
    <t>Sum of Agency Count</t>
  </si>
  <si>
    <t>Sum of Agency  Hours</t>
  </si>
  <si>
    <t>Apr 2026</t>
  </si>
  <si>
    <t>Wednesday</t>
  </si>
  <si>
    <t>Thursday</t>
  </si>
  <si>
    <t>Friday</t>
  </si>
  <si>
    <t>Saturday</t>
  </si>
  <si>
    <t>Mar 2026</t>
  </si>
  <si>
    <t>Monday</t>
  </si>
  <si>
    <t>Sunday</t>
  </si>
  <si>
    <t>Tuesday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</si>
  <si>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</si>
  <si>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</si>
  <si>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</si>
  <si>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</si>
  <si>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</si>
  <si>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</si>
  <si>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</si>
  <si>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</si>
  <si>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(empty)</t>
  </si>
  <si>
    <t>Jan 2027</t>
  </si>
  <si>
    <t>Total Result</t>
  </si>
  <si>
    <t>&lt;08/03/2026</t>
  </si>
  <si>
    <t>Mar</t>
  </si>
  <si>
    <t>08-Mar</t>
  </si>
  <si>
    <t>15-Mar</t>
  </si>
  <si>
    <t>22-Mar</t>
  </si>
  <si>
    <t>29-Mar</t>
  </si>
  <si>
    <t>Apr</t>
  </si>
  <si>
    <t>May</t>
  </si>
  <si>
    <t>Jun</t>
  </si>
  <si>
    <t>Jul</t>
  </si>
  <si>
    <t>05-Jul</t>
  </si>
  <si>
    <t>12-Jul</t>
  </si>
  <si>
    <t>19-Jul</t>
  </si>
  <si>
    <t>26-Jul</t>
  </si>
  <si>
    <t>Aug</t>
  </si>
  <si>
    <t>Sep</t>
  </si>
  <si>
    <t>Oct</t>
  </si>
  <si>
    <t>Nov</t>
  </si>
  <si>
    <t>Dec</t>
  </si>
  <si>
    <t>Grand Total</t>
  </si>
  <si>
    <t>ASDA</t>
  </si>
  <si>
    <t>ASDA (GC)</t>
  </si>
  <si>
    <t>COOP (GC)</t>
  </si>
  <si>
    <t>COSTCO</t>
  </si>
  <si>
    <t>Gate Gourmet London Ltd</t>
  </si>
  <si>
    <t>LIDL</t>
  </si>
  <si>
    <t>MORRISONS</t>
  </si>
  <si>
    <t>SAINSBURYS</t>
  </si>
  <si>
    <t>SHELL (WR)</t>
  </si>
  <si>
    <t>SIMPLY LUNCH</t>
  </si>
  <si>
    <t>TESCO</t>
  </si>
  <si>
    <t>WAITROSE</t>
  </si>
  <si>
    <t>WHSMITH - SAMWORTHS</t>
  </si>
  <si>
    <t>WONDERFIELD IRELAND LTD</t>
  </si>
  <si>
    <t xml:space="preserve">YO SUSHI-WILSON ST </t>
  </si>
  <si>
    <t>YO! Sushi UK Ltd-UK01</t>
  </si>
  <si>
    <t>Total</t>
  </si>
  <si>
    <t>Order Qty</t>
  </si>
  <si>
    <t>Pallets</t>
  </si>
  <si>
    <t>Sum of Overtime Hours</t>
  </si>
  <si>
    <t>Sum of 5-9AM Count</t>
  </si>
  <si>
    <t>Sum of 11AM -12 PM Count</t>
  </si>
  <si>
    <t>Sum of Overtime Hours2</t>
  </si>
  <si>
    <t>Sum of Night Count</t>
  </si>
  <si>
    <t>Sum of Overtime Hours3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</si>
</sst>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2" tint="-9.9978637043366805E-2"/>
        <bgColor rgb="FFC1E5F5"/>
      </patternFill>
    </fill>
    <fill>
      <patternFill patternType="solid">
        <fgColor theme="5" tint="0.79989013336588644"/>
        <bgColor rgb="FFF2F2F2"/>
      </patternFill>
    </fill>
    <fill>
      <patternFill patternType="solid">
        <fgColor theme="4" tint="0.79989013336588644"/>
        <bgColor rgb="FFCCEC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FFFF99"/>
        <bgColor rgb="FFFBE3D6"/>
      </patternFill>
    </fill>
    <fill>
      <patternFill patternType="solid">
        <fgColor theme="6" tint="0.79989013336588644"/>
        <bgColor rgb="FFC1E5F5"/>
      </patternFill>
    </fill>
    <fill>
      <patternFill patternType="solid">
        <fgColor rgb="FF99CCFF"/>
        <bgColor rgb="FFC1E5F5"/>
      </patternFill>
    </fill>
    <fill>
      <patternFill patternType="solid">
        <fgColor rgb="FF00FFFF"/>
        <bgColor rgb="FF00FFFF"/>
      </patternFill>
    </fill>
    <fill>
      <patternFill patternType="solid">
        <fgColor rgb="FFFFCCFF"/>
        <bgColor rgb="FFFBE3D6"/>
      </patternFill>
    </fill>
    <fill>
      <patternFill patternType="solid">
        <fgColor rgb="FFCCECFF"/>
        <bgColor rgb="FFC1E5F5"/>
      </patternFill>
    </fill>
    <fill>
      <patternFill patternType="solid">
        <fgColor rgb="FF305496"/>
        <bgColor rgb="FF4472C4"/>
      </patternFill>
    </fill>
    <fill>
      <patternFill patternType="solid">
        <fgColor rgb="FF4472C4"/>
        <bgColor rgb="FF666699"/>
      </patternFill>
    </fill>
    <fill>
      <patternFill patternType="solid">
        <fgColor theme="5" tint="0.79979857783745845"/>
        <bgColor rgb="FFF2F2F2"/>
      </patternFill>
    </fill>
    <fill>
      <patternFill patternType="solid">
        <fgColor theme="4" tint="0.79979857783745845"/>
        <bgColor rgb="FFCCECFF"/>
      </patternFill>
    </fill>
    <fill>
      <patternFill patternType="solid">
        <fgColor theme="6" tint="0.79979857783745845"/>
        <bgColor rgb="FFC1E5F5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7">
    <xf numFmtId="0" fontId="0" fillId="0" borderId="0"/>
    <xf numFmtId="0" fontId="2" fillId="0" borderId="0">
      <alignment horizontal="left"/>
    </xf>
    <xf numFmtId="0" fontId="2" fillId="0" borderId="0"/>
    <xf numFmtId="0" fontId="2" fillId="0" borderId="0"/>
    <xf numFmtId="0" fontId="1" fillId="0" borderId="0"/>
    <xf numFmtId="0" fontId="1" fillId="0" borderId="0">
      <alignment horizontal="left"/>
    </xf>
    <xf numFmtId="0" fontId="2" fillId="0" borderId="0"/>
  </cellStyleXfs>
  <cellXfs count="8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164" fontId="0" fillId="0" borderId="6" xfId="0" applyNumberFormat="1" applyBorder="1"/>
    <xf numFmtId="0" fontId="0" fillId="0" borderId="6" xfId="0" applyBorder="1"/>
    <xf numFmtId="164" fontId="0" fillId="3" borderId="7" xfId="0" applyNumberFormat="1" applyFill="1" applyBorder="1"/>
    <xf numFmtId="164" fontId="0" fillId="0" borderId="7" xfId="0" applyNumberFormat="1" applyBorder="1"/>
    <xf numFmtId="0" fontId="0" fillId="4" borderId="7" xfId="0" applyFill="1" applyBorder="1"/>
    <xf numFmtId="0" fontId="1" fillId="4" borderId="7" xfId="0" applyFont="1" applyFill="1" applyBorder="1"/>
    <xf numFmtId="0" fontId="0" fillId="5" borderId="7" xfId="0" applyFill="1" applyBorder="1"/>
    <xf numFmtId="0" fontId="1" fillId="5" borderId="7" xfId="0" applyFont="1" applyFill="1" applyBorder="1"/>
    <xf numFmtId="0" fontId="0" fillId="6" borderId="7" xfId="0" applyFill="1" applyBorder="1"/>
    <xf numFmtId="0" fontId="1" fillId="6" borderId="7" xfId="0" applyFont="1" applyFill="1" applyBorder="1"/>
    <xf numFmtId="0" fontId="1" fillId="7" borderId="7" xfId="0" applyFont="1" applyFill="1" applyBorder="1"/>
    <xf numFmtId="0" fontId="1" fillId="8" borderId="7" xfId="0" applyFont="1" applyFill="1" applyBorder="1"/>
    <xf numFmtId="0" fontId="1" fillId="9" borderId="7" xfId="0" applyFont="1" applyFill="1" applyBorder="1"/>
    <xf numFmtId="0" fontId="0" fillId="10" borderId="7" xfId="0" applyFill="1" applyBorder="1"/>
    <xf numFmtId="0" fontId="1" fillId="10" borderId="7" xfId="0" applyFont="1" applyFill="1" applyBorder="1"/>
    <xf numFmtId="0" fontId="0" fillId="11" borderId="7" xfId="0" applyFill="1" applyBorder="1"/>
    <xf numFmtId="0" fontId="1" fillId="11" borderId="7" xfId="0" applyFont="1" applyFill="1" applyBorder="1"/>
    <xf numFmtId="0" fontId="0" fillId="12" borderId="7" xfId="0" applyFill="1" applyBorder="1"/>
    <xf numFmtId="0" fontId="1" fillId="12" borderId="7" xfId="0" applyFont="1" applyFill="1" applyBorder="1"/>
    <xf numFmtId="0" fontId="0" fillId="8" borderId="7" xfId="0" applyFill="1" applyBorder="1"/>
    <xf numFmtId="164" fontId="0" fillId="3" borderId="6" xfId="0" applyNumberFormat="1" applyFill="1" applyBorder="1"/>
    <xf numFmtId="0" fontId="0" fillId="4" borderId="6" xfId="0" applyFill="1" applyBorder="1"/>
    <xf numFmtId="0" fontId="1" fillId="4" borderId="6" xfId="0" applyFont="1" applyFill="1" applyBorder="1"/>
    <xf numFmtId="0" fontId="0" fillId="5" borderId="6" xfId="0" applyFill="1" applyBorder="1"/>
    <xf numFmtId="0" fontId="1" fillId="5" borderId="6" xfId="0" applyFont="1" applyFill="1" applyBorder="1"/>
    <xf numFmtId="0" fontId="0" fillId="6" borderId="6" xfId="0" applyFill="1" applyBorder="1"/>
    <xf numFmtId="0" fontId="1" fillId="6" borderId="6" xfId="0" applyFont="1" applyFill="1" applyBorder="1"/>
    <xf numFmtId="0" fontId="1" fillId="7" borderId="6" xfId="0" applyFont="1" applyFill="1" applyBorder="1"/>
    <xf numFmtId="0" fontId="1" fillId="8" borderId="6" xfId="0" applyFont="1" applyFill="1" applyBorder="1"/>
    <xf numFmtId="0" fontId="1" fillId="9" borderId="6" xfId="0" applyFont="1" applyFill="1" applyBorder="1"/>
    <xf numFmtId="0" fontId="0" fillId="10" borderId="6" xfId="0" applyFill="1" applyBorder="1"/>
    <xf numFmtId="0" fontId="1" fillId="10" borderId="6" xfId="0" applyFont="1" applyFill="1" applyBorder="1"/>
    <xf numFmtId="0" fontId="0" fillId="11" borderId="6" xfId="0" applyFill="1" applyBorder="1"/>
    <xf numFmtId="0" fontId="1" fillId="11" borderId="6" xfId="0" applyFont="1" applyFill="1" applyBorder="1"/>
    <xf numFmtId="0" fontId="0" fillId="12" borderId="6" xfId="0" applyFill="1" applyBorder="1"/>
    <xf numFmtId="0" fontId="1" fillId="12" borderId="6" xfId="0" applyFont="1" applyFill="1" applyBorder="1"/>
    <xf numFmtId="0" fontId="0" fillId="0" borderId="9" xfId="0" applyBorder="1" applyAlignment="1">
      <alignment horizontal="left" indent="1"/>
    </xf>
    <xf numFmtId="0" fontId="0" fillId="0" borderId="9" xfId="0" applyBorder="1" applyAlignment="1">
      <alignment horizontal="left" indent="2"/>
    </xf>
    <xf numFmtId="0" fontId="0" fillId="0" borderId="10" xfId="0" applyBorder="1" applyAlignment="1">
      <alignment horizontal="left" indent="2"/>
    </xf>
    <xf numFmtId="0" fontId="0" fillId="0" borderId="8" xfId="0" applyBorder="1" applyAlignment="1">
      <alignment horizontal="left" indent="2"/>
    </xf>
    <xf numFmtId="0" fontId="1" fillId="0" borderId="11" xfId="0" applyFont="1" applyBorder="1" applyAlignment="1">
      <alignment horizontal="lef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left" indent="1"/>
    </xf>
    <xf numFmtId="0" fontId="1" fillId="0" borderId="19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4" fillId="14" borderId="20" xfId="0" applyFont="1" applyFill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3" fontId="6" fillId="0" borderId="20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15" borderId="6" xfId="0" applyFill="1" applyBorder="1"/>
    <xf numFmtId="0" fontId="1" fillId="15" borderId="6" xfId="0" applyFont="1" applyFill="1" applyBorder="1"/>
    <xf numFmtId="0" fontId="0" fillId="16" borderId="6" xfId="0" applyFill="1" applyBorder="1"/>
    <xf numFmtId="0" fontId="1" fillId="16" borderId="6" xfId="0" applyFont="1" applyFill="1" applyBorder="1"/>
    <xf numFmtId="0" fontId="1" fillId="17" borderId="6" xfId="0" applyFont="1" applyFill="1" applyBorder="1"/>
    <xf numFmtId="0" fontId="3" fillId="13" borderId="20" xfId="0" applyFont="1" applyFill="1" applyBorder="1" applyAlignment="1">
      <alignment horizontal="center" vertical="center"/>
    </xf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CFF"/>
      <rgbColor rgb="FF808080"/>
      <rgbColor rgb="FF9999FF"/>
      <rgbColor rgb="FF993366"/>
      <rgbColor rgb="FFF2F2F2"/>
      <rgbColor rgb="FFCCEC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E5F5"/>
      <rgbColor rgb="FFC2F1C8"/>
      <rgbColor rgb="FFFFFF99"/>
      <rgbColor rgb="FF99CCFF"/>
      <rgbColor rgb="FFFF99CC"/>
      <rgbColor rgb="FFCC99FF"/>
      <rgbColor rgb="FFFBE3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unika Jabisetty" refreshedDate="46235.609774884259" createdVersion="8" refreshedVersion="8" minRefreshableVersion="3" recordCount="292" xr:uid="{E0535436-65FB-42F7-9EA5-05C4C89FFE58}">
  <cacheSource type="worksheet">
    <worksheetSource ref="A1:AD1048576" sheet="Staffing 2026"/>
  </cacheSource>
  <cacheFields count="35">
    <cacheField name="Week start" numFmtId="0">
      <sharedItems containsNonDate="0" containsDate="1" containsString="0" containsBlank="1" minDate="2026-03-08T00:00:00" maxDate="2026-12-28T00:00:00" count="44">
        <d v="2026-03-08T00:00:00"/>
        <d v="2026-03-15T00:00:00"/>
        <d v="2026-03-22T00:00:00"/>
        <d v="2026-03-29T00:00:00"/>
        <d v="2026-04-05T00:00:00"/>
        <d v="2026-04-12T00:00:00"/>
        <d v="2026-04-19T00:00:00"/>
        <d v="2026-04-26T00:00:00"/>
        <d v="2026-05-03T00:00:00"/>
        <d v="2026-05-10T00:00:00"/>
        <d v="2026-05-17T00:00:00"/>
        <d v="2026-05-24T00:00:00"/>
        <d v="2026-05-31T00:00:00"/>
        <d v="2026-06-07T00:00:00"/>
        <d v="2026-06-14T00:00:00"/>
        <d v="2026-06-21T00:00:00"/>
        <d v="2026-06-28T00:00:00"/>
        <d v="2026-07-05T00:00:00"/>
        <d v="2026-07-12T00:00:00"/>
        <d v="2026-07-19T00:00:00"/>
        <d v="2026-07-26T00:00:00"/>
        <d v="2026-08-02T00:00:00"/>
        <d v="2026-08-09T00:00:00"/>
        <d v="2026-08-16T00:00:00"/>
        <d v="2026-08-23T00:00:00"/>
        <d v="2026-08-30T00:00:00"/>
        <d v="2026-09-06T00:00:00"/>
        <d v="2026-09-13T00:00:00"/>
        <d v="2026-09-20T00:00:00"/>
        <d v="2026-09-27T00:00:00"/>
        <d v="2026-10-04T00:00:00"/>
        <d v="2026-10-11T00:00:00"/>
        <d v="2026-10-18T00:00:00"/>
        <d v="2026-10-25T00:00:00"/>
        <d v="2026-11-01T00:00:00"/>
        <d v="2026-11-08T00:00:00"/>
        <d v="2026-11-15T00:00:00"/>
        <d v="2026-11-22T00:00:00"/>
        <d v="2026-11-29T00:00:00"/>
        <d v="2026-12-06T00:00:00"/>
        <d v="2026-12-13T00:00:00"/>
        <d v="2026-12-20T00:00:00"/>
        <d v="2026-12-27T00:00:00"/>
        <m/>
      </sharedItems>
      <fieldGroup par="31"/>
    </cacheField>
    <cacheField name="Day order" numFmtId="0">
      <sharedItems containsString="0" containsBlank="1" containsNumber="1" containsInteger="1" minValue="1" maxValue="7"/>
    </cacheField>
    <cacheField name="Month" numFmtId="0">
      <sharedItems containsBlank="1"/>
    </cacheField>
    <cacheField name="Date" numFmtId="0">
      <sharedItems containsNonDate="0" containsDate="1" containsString="0" containsBlank="1" minDate="2026-03-09T00:00:00" maxDate="2027-01-02T00:00:00" count="292"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26T00:00:00"/>
        <d v="2026-03-27T00:00:00"/>
        <d v="2026-03-28T00:00:00"/>
        <d v="2026-03-29T00:00:00"/>
        <d v="2026-03-30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m/>
      </sharedItems>
      <fieldGroup par="34"/>
    </cacheField>
    <cacheField name="Day" numFmtId="0">
      <sharedItems containsBlank="1" count="8">
        <s v="Monday"/>
        <s v="Tuesday"/>
        <s v="Wednesday"/>
        <s v="Thursday"/>
        <s v="Friday"/>
        <s v="Saturday"/>
        <s v="Sunday"/>
        <m/>
      </sharedItems>
    </cacheField>
    <cacheField name="5-9AM Count" numFmtId="0">
      <sharedItems containsString="0" containsBlank="1" containsNumber="1" containsInteger="1" minValue="3" maxValue="22"/>
    </cacheField>
    <cacheField name="Planned AM Hours" numFmtId="0">
      <sharedItems containsString="0" containsBlank="1" containsNumber="1" containsInteger="1" minValue="0" maxValue="176"/>
    </cacheField>
    <cacheField name="Overtime Hours" numFmtId="0">
      <sharedItems containsString="0" containsBlank="1" containsNumber="1" minValue="-14.75" maxValue="38.17"/>
    </cacheField>
    <cacheField name="Actual AM Hours " numFmtId="0">
      <sharedItems containsString="0" containsBlank="1" containsNumber="1" minValue="0" maxValue="196.88"/>
    </cacheField>
    <cacheField name="11AM -12 PM Count" numFmtId="0">
      <sharedItems containsString="0" containsBlank="1" containsNumber="1" containsInteger="1" minValue="9" maxValue="16"/>
    </cacheField>
    <cacheField name="Planned PM Hours" numFmtId="0">
      <sharedItems containsString="0" containsBlank="1" containsNumber="1" containsInteger="1" minValue="0" maxValue="128"/>
    </cacheField>
    <cacheField name="Overtime Hours2" numFmtId="0">
      <sharedItems containsString="0" containsBlank="1" containsNumber="1" minValue="-11.92" maxValue="41.27"/>
    </cacheField>
    <cacheField name="Actual PM Hours" numFmtId="0">
      <sharedItems containsString="0" containsBlank="1" containsNumber="1" minValue="0" maxValue="160"/>
    </cacheField>
    <cacheField name="Night Count" numFmtId="0">
      <sharedItems containsString="0" containsBlank="1" containsNumber="1" containsInteger="1" minValue="4" maxValue="18"/>
    </cacheField>
    <cacheField name="Planned Night Hours" numFmtId="0">
      <sharedItems containsString="0" containsBlank="1" containsNumber="1" containsInteger="1" minValue="0" maxValue="144"/>
    </cacheField>
    <cacheField name="Overtime Hours3" numFmtId="0">
      <sharedItems containsString="0" containsBlank="1" containsNumber="1" minValue="-21.35" maxValue="41.22"/>
    </cacheField>
    <cacheField name="Actual Night Hours" numFmtId="0">
      <sharedItems containsString="0" containsBlank="1" containsNumber="1" minValue="0" maxValue="165.57999999999998"/>
    </cacheField>
    <cacheField name="Total Count" numFmtId="0">
      <sharedItems containsString="0" containsBlank="1" containsNumber="1" containsInteger="1" minValue="0" maxValue="51"/>
    </cacheField>
    <cacheField name="Total planned" numFmtId="0">
      <sharedItems containsString="0" containsBlank="1" containsNumber="1" containsInteger="1" minValue="0" maxValue="408"/>
    </cacheField>
    <cacheField name="Total Actual Hours" numFmtId="0">
      <sharedItems containsString="0" containsBlank="1" containsNumber="1" minValue="0" maxValue="467.69999999999993"/>
    </cacheField>
    <cacheField name="Total Overtime" numFmtId="0">
      <sharedItems containsString="0" containsBlank="1" containsNumber="1" minValue="-14.75" maxValue="83.699999999999932"/>
    </cacheField>
    <cacheField name="Salaried Count" numFmtId="0">
      <sharedItems containsString="0" containsBlank="1" containsNumber="1" containsInteger="1" minValue="0" maxValue="7"/>
    </cacheField>
    <cacheField name="Salaried Hours" numFmtId="0">
      <sharedItems containsString="0" containsBlank="1" containsNumber="1" containsInteger="1" minValue="0" maxValue="56"/>
    </cacheField>
    <cacheField name="Holiday Count" numFmtId="0">
      <sharedItems containsString="0" containsBlank="1" containsNumber="1" containsInteger="1" minValue="0" maxValue="9"/>
    </cacheField>
    <cacheField name="Holiday Hours" numFmtId="0">
      <sharedItems containsString="0" containsBlank="1" containsNumber="1" containsInteger="1" minValue="0" maxValue="72"/>
    </cacheField>
    <cacheField name="Sick Count" numFmtId="0">
      <sharedItems containsString="0" containsBlank="1" containsNumber="1" containsInteger="1" minValue="0" maxValue="4"/>
    </cacheField>
    <cacheField name="Sick Hours" numFmtId="0">
      <sharedItems containsString="0" containsBlank="1" containsNumber="1" containsInteger="1" minValue="0" maxValue="32"/>
    </cacheField>
    <cacheField name="Agency Count" numFmtId="0">
      <sharedItems containsString="0" containsBlank="1" containsNumber="1" containsInteger="1" minValue="0" maxValue="32"/>
    </cacheField>
    <cacheField name="Agency  Hours" numFmtId="0">
      <sharedItems containsString="0" containsBlank="1" containsNumber="1" minValue="0" maxValue="282.25"/>
    </cacheField>
    <cacheField name="Total Hours" numFmtId="0">
      <sharedItems containsString="0" containsBlank="1" containsNumber="1" minValue="0" maxValue="704.34"/>
    </cacheField>
    <cacheField name="Days (Week start)" numFmtId="0" databaseField="0">
      <fieldGroup base="0">
        <rangePr groupBy="days" startDate="2026-03-08T00:00:00" endDate="2026-12-28T00:00:00"/>
        <groupItems count="368">
          <s v="&lt;08/03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/12/2026"/>
        </groupItems>
      </fieldGroup>
    </cacheField>
    <cacheField name="Months (Week start)" numFmtId="0" databaseField="0">
      <fieldGroup base="0">
        <rangePr groupBy="months" startDate="2026-03-08T00:00:00" endDate="2026-12-28T00:00:00"/>
        <groupItems count="14">
          <s v="&lt;08/03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/12/2026"/>
        </groupItems>
      </fieldGroup>
    </cacheField>
    <cacheField name="Months (Date)" numFmtId="0" databaseField="0">
      <fieldGroup base="3">
        <rangePr groupBy="months" startDate="2026-03-09T00:00:00" endDate="2027-01-02T00:00:00"/>
        <groupItems count="14">
          <s v="&lt;09/03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1/2027"/>
        </groupItems>
      </fieldGroup>
    </cacheField>
    <cacheField name="Quarters (Date)" numFmtId="0" databaseField="0">
      <fieldGroup base="3">
        <rangePr groupBy="quarters" startDate="2026-03-09T00:00:00" endDate="2027-01-02T00:00:00"/>
        <groupItems count="6">
          <s v="&lt;09/03/2026"/>
          <s v="Qtr1"/>
          <s v="Qtr2"/>
          <s v="Qtr3"/>
          <s v="Qtr4"/>
          <s v="&gt;02/01/2027"/>
        </groupItems>
      </fieldGroup>
    </cacheField>
    <cacheField name="Years (Date)" numFmtId="0" databaseField="0">
      <fieldGroup base="3">
        <rangePr groupBy="years" startDate="2026-03-09T00:00:00" endDate="2027-01-02T00:00:00"/>
        <groupItems count="4">
          <s v="&lt;09/03/2026"/>
          <s v="2026"/>
          <s v="2027"/>
          <s v="&gt;02/0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">
  <r>
    <x v="0"/>
    <n v="2"/>
    <s v="Mar 2026"/>
    <x v="0"/>
    <x v="0"/>
    <n v="20"/>
    <n v="160"/>
    <n v="14.19"/>
    <n v="174.19"/>
    <n v="11"/>
    <n v="88"/>
    <n v="10.37"/>
    <n v="98.37"/>
    <n v="13"/>
    <n v="104"/>
    <n v="2.67"/>
    <n v="106.67"/>
    <n v="44"/>
    <n v="352"/>
    <n v="379.23"/>
    <n v="27.230000000000018"/>
    <m/>
    <n v="0"/>
    <n v="7"/>
    <n v="56"/>
    <n v="0"/>
    <n v="0"/>
    <n v="3"/>
    <n v="27.5"/>
    <n v="462.73"/>
  </r>
  <r>
    <x v="0"/>
    <n v="3"/>
    <s v="Mar 2026"/>
    <x v="1"/>
    <x v="1"/>
    <n v="20"/>
    <n v="160"/>
    <n v="4.5599999999999996"/>
    <n v="164.56"/>
    <n v="12"/>
    <n v="96"/>
    <n v="4.32"/>
    <n v="100.32"/>
    <n v="13"/>
    <n v="104"/>
    <n v="-0.68"/>
    <n v="103.32"/>
    <n v="45"/>
    <n v="360"/>
    <n v="368.2"/>
    <n v="8.1999999999999886"/>
    <m/>
    <n v="0"/>
    <n v="7"/>
    <n v="56"/>
    <n v="2"/>
    <n v="16"/>
    <n v="2"/>
    <n v="16"/>
    <n v="456.2"/>
  </r>
  <r>
    <x v="0"/>
    <n v="4"/>
    <s v="Mar 2026"/>
    <x v="2"/>
    <x v="2"/>
    <n v="18"/>
    <n v="144"/>
    <n v="9.0500000000000007"/>
    <n v="153.05000000000001"/>
    <n v="12"/>
    <n v="96"/>
    <n v="3.75"/>
    <n v="99.75"/>
    <n v="12"/>
    <n v="96"/>
    <n v="8.1"/>
    <n v="104.1"/>
    <n v="42"/>
    <n v="336"/>
    <n v="356.90000000000003"/>
    <n v="20.900000000000034"/>
    <n v="5"/>
    <n v="40"/>
    <n v="6"/>
    <n v="48"/>
    <n v="2"/>
    <n v="16"/>
    <n v="2"/>
    <n v="18"/>
    <n v="478.90000000000003"/>
  </r>
  <r>
    <x v="0"/>
    <n v="5"/>
    <s v="Mar 2026"/>
    <x v="3"/>
    <x v="3"/>
    <n v="19"/>
    <n v="152"/>
    <n v="10.97"/>
    <n v="162.97"/>
    <n v="14"/>
    <n v="112"/>
    <n v="21.9"/>
    <n v="133.9"/>
    <n v="13"/>
    <n v="104"/>
    <n v="29.08"/>
    <n v="133.07999999999998"/>
    <n v="46"/>
    <n v="368"/>
    <n v="429.95"/>
    <n v="61.949999999999989"/>
    <n v="5"/>
    <n v="40"/>
    <n v="4"/>
    <n v="32"/>
    <n v="2"/>
    <n v="16"/>
    <n v="9"/>
    <n v="83"/>
    <n v="600.95000000000005"/>
  </r>
  <r>
    <x v="0"/>
    <n v="6"/>
    <s v="Mar 2026"/>
    <x v="4"/>
    <x v="4"/>
    <n v="12"/>
    <n v="96"/>
    <n v="30.8"/>
    <n v="126.8"/>
    <m/>
    <n v="0"/>
    <m/>
    <n v="0"/>
    <m/>
    <n v="0"/>
    <m/>
    <n v="0"/>
    <n v="12"/>
    <n v="96"/>
    <n v="126.8"/>
    <n v="30.799999999999997"/>
    <n v="1"/>
    <n v="8"/>
    <n v="2"/>
    <n v="16"/>
    <n v="1"/>
    <n v="8"/>
    <n v="6"/>
    <n v="51.5"/>
    <n v="210.3"/>
  </r>
  <r>
    <x v="0"/>
    <n v="7"/>
    <s v="Mar 2026"/>
    <x v="5"/>
    <x v="5"/>
    <n v="14"/>
    <n v="112"/>
    <n v="22.13"/>
    <n v="134.13"/>
    <n v="15"/>
    <n v="120"/>
    <n v="27.77"/>
    <n v="147.77000000000001"/>
    <n v="13"/>
    <n v="104"/>
    <n v="29.48"/>
    <n v="133.47999999999999"/>
    <n v="42"/>
    <n v="336"/>
    <n v="415.38"/>
    <n v="79.38"/>
    <n v="2"/>
    <n v="16"/>
    <n v="4"/>
    <n v="32"/>
    <n v="3"/>
    <n v="24"/>
    <n v="9"/>
    <n v="83"/>
    <n v="570.38"/>
  </r>
  <r>
    <x v="1"/>
    <n v="1"/>
    <s v="Mar 2026"/>
    <x v="6"/>
    <x v="6"/>
    <n v="14"/>
    <n v="112"/>
    <n v="10.39"/>
    <n v="122.39"/>
    <n v="13"/>
    <n v="104"/>
    <n v="2.15"/>
    <n v="106.15"/>
    <n v="14"/>
    <n v="112"/>
    <n v="0.55000000000000004"/>
    <n v="112.55"/>
    <n v="41"/>
    <n v="328"/>
    <n v="341.09"/>
    <n v="13.089999999999975"/>
    <n v="3"/>
    <n v="24"/>
    <n v="8"/>
    <n v="64"/>
    <n v="1"/>
    <n v="8"/>
    <n v="11"/>
    <n v="83.25"/>
    <n v="520.33999999999992"/>
  </r>
  <r>
    <x v="1"/>
    <n v="2"/>
    <s v="Mar 2026"/>
    <x v="7"/>
    <x v="0"/>
    <n v="20"/>
    <n v="160"/>
    <n v="10.15"/>
    <n v="170.15"/>
    <n v="13"/>
    <n v="104"/>
    <n v="10.63"/>
    <n v="114.63"/>
    <n v="12"/>
    <n v="96"/>
    <n v="0"/>
    <n v="96"/>
    <n v="45"/>
    <n v="360"/>
    <n v="380.78"/>
    <n v="20.779999999999973"/>
    <n v="5"/>
    <n v="40"/>
    <n v="7"/>
    <n v="56"/>
    <n v="1"/>
    <n v="8"/>
    <n v="2"/>
    <n v="16"/>
    <n v="500.78"/>
  </r>
  <r>
    <x v="1"/>
    <n v="3"/>
    <s v="Mar 2026"/>
    <x v="8"/>
    <x v="1"/>
    <n v="17"/>
    <n v="136"/>
    <n v="15.6"/>
    <n v="151.6"/>
    <n v="13"/>
    <n v="104"/>
    <n v="4.9400000000000004"/>
    <n v="108.94"/>
    <n v="14"/>
    <n v="112"/>
    <n v="0.85"/>
    <n v="112.85"/>
    <n v="44"/>
    <n v="352"/>
    <n v="373.39000000000004"/>
    <n v="21.390000000000043"/>
    <n v="6"/>
    <n v="48"/>
    <n v="9"/>
    <n v="72"/>
    <n v="1"/>
    <n v="8"/>
    <n v="4"/>
    <n v="35"/>
    <n v="536.3900000000001"/>
  </r>
  <r>
    <x v="1"/>
    <n v="4"/>
    <s v="Mar 2026"/>
    <x v="9"/>
    <x v="2"/>
    <n v="18"/>
    <n v="144"/>
    <n v="3.19"/>
    <n v="147.19"/>
    <n v="12"/>
    <n v="96"/>
    <n v="15.8"/>
    <n v="111.8"/>
    <n v="15"/>
    <n v="120"/>
    <n v="22.67"/>
    <n v="142.67000000000002"/>
    <n v="45"/>
    <n v="360"/>
    <n v="401.66"/>
    <n v="41.660000000000025"/>
    <n v="5"/>
    <n v="40"/>
    <n v="8"/>
    <n v="64"/>
    <n v="2"/>
    <n v="16"/>
    <n v="3"/>
    <n v="25.67"/>
    <n v="547.33000000000004"/>
  </r>
  <r>
    <x v="2"/>
    <n v="5"/>
    <s v="Mar 2026"/>
    <x v="10"/>
    <x v="3"/>
    <n v="20"/>
    <n v="160"/>
    <n v="15.85"/>
    <n v="175.85"/>
    <n v="12"/>
    <n v="96"/>
    <n v="21.25"/>
    <n v="117.25"/>
    <n v="15"/>
    <n v="120"/>
    <n v="26.02"/>
    <n v="146.02000000000001"/>
    <n v="47"/>
    <n v="376"/>
    <n v="439.12"/>
    <n v="63.120000000000005"/>
    <n v="4"/>
    <n v="32"/>
    <n v="6"/>
    <n v="48"/>
    <n v="0"/>
    <n v="0"/>
    <n v="11"/>
    <n v="104.5"/>
    <n v="623.62"/>
  </r>
  <r>
    <x v="2"/>
    <n v="6"/>
    <s v="Mar 2026"/>
    <x v="11"/>
    <x v="4"/>
    <n v="13"/>
    <n v="104"/>
    <n v="11.33"/>
    <n v="115.33"/>
    <m/>
    <n v="0"/>
    <m/>
    <n v="0"/>
    <m/>
    <n v="0"/>
    <m/>
    <n v="0"/>
    <n v="13"/>
    <n v="104"/>
    <n v="115.33"/>
    <n v="11.329999999999998"/>
    <m/>
    <n v="0"/>
    <m/>
    <n v="0"/>
    <m/>
    <n v="0"/>
    <n v="3"/>
    <n v="23"/>
    <n v="138.32999999999998"/>
  </r>
  <r>
    <x v="2"/>
    <n v="7"/>
    <s v="Mar 2026"/>
    <x v="12"/>
    <x v="5"/>
    <n v="17"/>
    <n v="136"/>
    <n v="16.68"/>
    <n v="152.68"/>
    <n v="12"/>
    <n v="96"/>
    <n v="16.13"/>
    <n v="112.13"/>
    <n v="13"/>
    <n v="104"/>
    <n v="13.95"/>
    <n v="117.95"/>
    <n v="42"/>
    <n v="336"/>
    <n v="382.76"/>
    <n v="46.759999999999991"/>
    <n v="1"/>
    <n v="8"/>
    <n v="6"/>
    <n v="48"/>
    <n v="2"/>
    <n v="16"/>
    <n v="15"/>
    <n v="139"/>
    <n v="593.76"/>
  </r>
  <r>
    <x v="3"/>
    <n v="1"/>
    <s v="Mar 2026"/>
    <x v="13"/>
    <x v="6"/>
    <n v="15"/>
    <n v="120"/>
    <n v="15.68"/>
    <n v="135.68"/>
    <n v="13"/>
    <n v="104"/>
    <n v="-0.1"/>
    <n v="103.9"/>
    <n v="11"/>
    <n v="88"/>
    <n v="1.3"/>
    <n v="89.3"/>
    <n v="39"/>
    <n v="312"/>
    <n v="328.88000000000005"/>
    <n v="16.880000000000052"/>
    <n v="4"/>
    <n v="32"/>
    <n v="8"/>
    <n v="64"/>
    <n v="1"/>
    <n v="8"/>
    <n v="9"/>
    <n v="76"/>
    <n v="508.88000000000005"/>
  </r>
  <r>
    <x v="3"/>
    <n v="2"/>
    <s v="Mar 2026"/>
    <x v="14"/>
    <x v="0"/>
    <n v="20"/>
    <n v="160"/>
    <n v="12.24"/>
    <n v="172.24"/>
    <n v="12"/>
    <n v="96"/>
    <n v="21.5"/>
    <n v="117.5"/>
    <n v="9"/>
    <n v="72"/>
    <n v="4.2699999999999996"/>
    <n v="76.27"/>
    <n v="41"/>
    <n v="328"/>
    <n v="366.01"/>
    <n v="38.009999999999991"/>
    <n v="4"/>
    <n v="32"/>
    <n v="8"/>
    <n v="64"/>
    <n v="3"/>
    <n v="24"/>
    <n v="6"/>
    <n v="53"/>
    <n v="539.01"/>
  </r>
  <r>
    <x v="3"/>
    <n v="4"/>
    <s v="Apr 2026"/>
    <x v="15"/>
    <x v="2"/>
    <n v="20"/>
    <n v="160"/>
    <n v="0"/>
    <n v="160"/>
    <n v="13"/>
    <n v="104"/>
    <n v="2"/>
    <n v="106"/>
    <n v="14"/>
    <n v="112"/>
    <n v="-12"/>
    <n v="100"/>
    <n v="47"/>
    <n v="376"/>
    <n v="366"/>
    <n v="-10"/>
    <n v="6"/>
    <n v="48"/>
    <n v="2"/>
    <n v="16"/>
    <n v="1"/>
    <n v="8"/>
    <n v="0"/>
    <n v="0"/>
    <n v="438"/>
  </r>
  <r>
    <x v="3"/>
    <n v="5"/>
    <s v="Apr 2026"/>
    <x v="16"/>
    <x v="3"/>
    <n v="15"/>
    <n v="120"/>
    <n v="-4.3499999999999996"/>
    <n v="115.65"/>
    <n v="12"/>
    <n v="96"/>
    <n v="14.55"/>
    <n v="110.55"/>
    <n v="14"/>
    <n v="112"/>
    <n v="14.1"/>
    <n v="126.1"/>
    <n v="41"/>
    <n v="328"/>
    <n v="352.30000000000007"/>
    <n v="24.300000000000068"/>
    <m/>
    <n v="0"/>
    <m/>
    <n v="0"/>
    <m/>
    <n v="0"/>
    <m/>
    <m/>
    <n v="352.30000000000007"/>
  </r>
  <r>
    <x v="3"/>
    <n v="6"/>
    <s v="Apr 2026"/>
    <x v="17"/>
    <x v="4"/>
    <n v="11"/>
    <n v="88"/>
    <n v="-14.75"/>
    <n v="73.25"/>
    <m/>
    <n v="0"/>
    <m/>
    <n v="0"/>
    <m/>
    <n v="0"/>
    <m/>
    <n v="0"/>
    <n v="11"/>
    <n v="88"/>
    <n v="73.25"/>
    <n v="-14.75"/>
    <m/>
    <n v="0"/>
    <m/>
    <n v="0"/>
    <m/>
    <n v="0"/>
    <m/>
    <m/>
    <n v="73.25"/>
  </r>
  <r>
    <x v="3"/>
    <n v="7"/>
    <s v="Apr 2026"/>
    <x v="18"/>
    <x v="5"/>
    <n v="12"/>
    <n v="96"/>
    <n v="4.03"/>
    <n v="100.03"/>
    <n v="9"/>
    <n v="72"/>
    <n v="3.42"/>
    <n v="75.42"/>
    <n v="12"/>
    <n v="96"/>
    <n v="-1"/>
    <n v="95"/>
    <n v="33"/>
    <n v="264"/>
    <n v="270.45"/>
    <n v="6.4499999999999886"/>
    <m/>
    <n v="0"/>
    <m/>
    <n v="0"/>
    <m/>
    <n v="0"/>
    <m/>
    <m/>
    <n v="270.45"/>
  </r>
  <r>
    <x v="4"/>
    <n v="1"/>
    <s v="Apr 2026"/>
    <x v="19"/>
    <x v="6"/>
    <n v="17"/>
    <n v="136"/>
    <n v="3.33"/>
    <n v="139.33000000000001"/>
    <n v="12"/>
    <n v="96"/>
    <n v="8.43"/>
    <n v="104.43"/>
    <n v="12"/>
    <n v="96"/>
    <n v="-4.88"/>
    <n v="91.12"/>
    <n v="41"/>
    <n v="328"/>
    <n v="334.88"/>
    <n v="6.8799999999999955"/>
    <m/>
    <n v="0"/>
    <m/>
    <n v="0"/>
    <m/>
    <n v="0"/>
    <n v="7"/>
    <n v="58"/>
    <n v="392.88"/>
  </r>
  <r>
    <x v="4"/>
    <n v="2"/>
    <s v="Apr 2026"/>
    <x v="20"/>
    <x v="0"/>
    <n v="21"/>
    <n v="168"/>
    <n v="4.83"/>
    <n v="172.83"/>
    <n v="10"/>
    <n v="80"/>
    <n v="6.61"/>
    <n v="86.61"/>
    <n v="13"/>
    <n v="104"/>
    <n v="-8.98"/>
    <n v="95.02"/>
    <n v="44"/>
    <n v="352"/>
    <n v="354.46"/>
    <n v="2.4599999999999795"/>
    <n v="5"/>
    <n v="40"/>
    <n v="4"/>
    <n v="32"/>
    <n v="1"/>
    <n v="8"/>
    <n v="5"/>
    <n v="41.5"/>
    <n v="475.96"/>
  </r>
  <r>
    <x v="4"/>
    <n v="3"/>
    <s v="Apr 2026"/>
    <x v="21"/>
    <x v="1"/>
    <n v="21"/>
    <n v="168"/>
    <n v="14.27"/>
    <n v="182.27"/>
    <n v="12"/>
    <n v="96"/>
    <n v="16.690000000000001"/>
    <n v="112.69"/>
    <n v="13"/>
    <n v="104"/>
    <n v="0"/>
    <n v="104"/>
    <n v="46"/>
    <n v="368"/>
    <n v="398.96"/>
    <n v="30.95999999999998"/>
    <n v="5"/>
    <n v="40"/>
    <n v="3"/>
    <n v="24"/>
    <n v="3"/>
    <n v="24"/>
    <n v="7"/>
    <n v="66"/>
    <n v="552.96"/>
  </r>
  <r>
    <x v="4"/>
    <n v="4"/>
    <s v="Apr 2026"/>
    <x v="22"/>
    <x v="2"/>
    <n v="21"/>
    <n v="168"/>
    <n v="7.05"/>
    <n v="175.05"/>
    <n v="14"/>
    <n v="112"/>
    <n v="19.02"/>
    <n v="131.02000000000001"/>
    <n v="12"/>
    <n v="96"/>
    <n v="2.2400000000000002"/>
    <n v="98.24"/>
    <n v="47"/>
    <n v="376"/>
    <n v="404.31"/>
    <n v="28.310000000000002"/>
    <n v="3"/>
    <n v="24"/>
    <n v="5"/>
    <n v="40"/>
    <n v="2"/>
    <n v="16"/>
    <n v="4"/>
    <n v="36"/>
    <n v="520.30999999999995"/>
  </r>
  <r>
    <x v="4"/>
    <n v="5"/>
    <s v="Apr 2026"/>
    <x v="23"/>
    <x v="3"/>
    <n v="19"/>
    <n v="152"/>
    <n v="6.15"/>
    <n v="158.15"/>
    <n v="14"/>
    <n v="112"/>
    <n v="22.27"/>
    <n v="134.27000000000001"/>
    <n v="16"/>
    <n v="128"/>
    <n v="26.9"/>
    <n v="154.9"/>
    <n v="49"/>
    <n v="392"/>
    <n v="447.31999999999994"/>
    <n v="55.319999999999936"/>
    <m/>
    <n v="0"/>
    <m/>
    <n v="0"/>
    <m/>
    <n v="0"/>
    <n v="8"/>
    <n v="73.25"/>
    <n v="520.56999999999994"/>
  </r>
  <r>
    <x v="4"/>
    <n v="6"/>
    <s v="Apr 2026"/>
    <x v="24"/>
    <x v="4"/>
    <n v="13"/>
    <n v="104"/>
    <n v="0.08"/>
    <n v="104.08"/>
    <m/>
    <n v="0"/>
    <m/>
    <n v="0"/>
    <m/>
    <n v="0"/>
    <m/>
    <n v="0"/>
    <n v="13"/>
    <n v="104"/>
    <n v="104.08"/>
    <n v="7.9999999999998295E-2"/>
    <m/>
    <n v="0"/>
    <m/>
    <n v="0"/>
    <m/>
    <n v="0"/>
    <n v="2"/>
    <n v="14"/>
    <n v="118.08"/>
  </r>
  <r>
    <x v="4"/>
    <n v="7"/>
    <s v="Apr 2026"/>
    <x v="25"/>
    <x v="5"/>
    <n v="15"/>
    <n v="120"/>
    <n v="11.37"/>
    <n v="131.37"/>
    <n v="15"/>
    <n v="120"/>
    <n v="40"/>
    <n v="160"/>
    <n v="18"/>
    <n v="144"/>
    <n v="7.04"/>
    <n v="151.04"/>
    <n v="48"/>
    <n v="384"/>
    <n v="442.41"/>
    <n v="58.410000000000025"/>
    <n v="1"/>
    <n v="8"/>
    <n v="0"/>
    <n v="0"/>
    <n v="1"/>
    <n v="8"/>
    <n v="10"/>
    <n v="87.5"/>
    <n v="545.91000000000008"/>
  </r>
  <r>
    <x v="5"/>
    <n v="1"/>
    <s v="Apr 2026"/>
    <x v="26"/>
    <x v="6"/>
    <n v="14"/>
    <n v="112"/>
    <n v="5.95"/>
    <n v="117.95"/>
    <n v="16"/>
    <n v="128"/>
    <n v="10.26"/>
    <n v="138.26"/>
    <n v="14"/>
    <n v="112"/>
    <n v="-0.05"/>
    <n v="111.95"/>
    <n v="44"/>
    <n v="352"/>
    <n v="368.15999999999997"/>
    <n v="16.159999999999968"/>
    <n v="4"/>
    <n v="32"/>
    <n v="4"/>
    <n v="32"/>
    <n v="0"/>
    <n v="0"/>
    <n v="9"/>
    <n v="71"/>
    <n v="503.15999999999997"/>
  </r>
  <r>
    <x v="5"/>
    <n v="2"/>
    <s v="Apr 2026"/>
    <x v="27"/>
    <x v="0"/>
    <n v="19"/>
    <n v="152"/>
    <n v="15.91"/>
    <n v="167.91"/>
    <n v="15"/>
    <n v="120"/>
    <n v="2.91"/>
    <n v="122.91"/>
    <n v="14"/>
    <n v="112"/>
    <n v="-0.02"/>
    <n v="111.98"/>
    <n v="48"/>
    <n v="384"/>
    <n v="402.8"/>
    <n v="18.800000000000011"/>
    <n v="5"/>
    <n v="40"/>
    <n v="3"/>
    <n v="24"/>
    <n v="0"/>
    <n v="0"/>
    <n v="4"/>
    <n v="35"/>
    <n v="501.8"/>
  </r>
  <r>
    <x v="5"/>
    <n v="3"/>
    <s v="Apr 2026"/>
    <x v="28"/>
    <x v="1"/>
    <n v="20"/>
    <n v="160"/>
    <n v="4.1900000000000004"/>
    <n v="164.19"/>
    <n v="14"/>
    <n v="112"/>
    <n v="-0.41"/>
    <n v="111.59"/>
    <n v="13"/>
    <n v="104"/>
    <n v="0"/>
    <n v="104"/>
    <n v="47"/>
    <n v="376"/>
    <n v="379.78"/>
    <n v="3.7799999999999727"/>
    <n v="5"/>
    <n v="40"/>
    <n v="4"/>
    <n v="32"/>
    <n v="1"/>
    <n v="8"/>
    <n v="4"/>
    <n v="31"/>
    <n v="490.78"/>
  </r>
  <r>
    <x v="5"/>
    <n v="4"/>
    <s v="Apr 2026"/>
    <x v="29"/>
    <x v="2"/>
    <n v="20"/>
    <n v="160"/>
    <n v="-2.14"/>
    <n v="157.86000000000001"/>
    <n v="14"/>
    <n v="112"/>
    <n v="-11.92"/>
    <n v="100.08"/>
    <n v="14"/>
    <n v="112"/>
    <n v="5.43"/>
    <n v="117.43"/>
    <n v="48"/>
    <n v="384"/>
    <n v="375.37"/>
    <n v="-8.6299999999999955"/>
    <n v="4"/>
    <n v="32"/>
    <n v="6"/>
    <n v="48"/>
    <n v="0"/>
    <n v="0"/>
    <n v="3"/>
    <n v="25"/>
    <n v="480.37"/>
  </r>
  <r>
    <x v="5"/>
    <n v="5"/>
    <s v="Apr 2026"/>
    <x v="30"/>
    <x v="3"/>
    <n v="18"/>
    <n v="144"/>
    <n v="15.43"/>
    <n v="159.43"/>
    <n v="14"/>
    <n v="112"/>
    <n v="16.41"/>
    <n v="128.41"/>
    <n v="18"/>
    <n v="144"/>
    <n v="17.16"/>
    <n v="161.16"/>
    <n v="50"/>
    <n v="400"/>
    <n v="449.00000000000006"/>
    <n v="49.000000000000057"/>
    <n v="4"/>
    <n v="32"/>
    <n v="1"/>
    <n v="8"/>
    <n v="1"/>
    <n v="8"/>
    <n v="10"/>
    <n v="93.5"/>
    <n v="590.5"/>
  </r>
  <r>
    <x v="5"/>
    <n v="6"/>
    <s v="Apr 2026"/>
    <x v="31"/>
    <x v="4"/>
    <n v="14"/>
    <n v="112"/>
    <n v="-1.67"/>
    <n v="110.33"/>
    <m/>
    <n v="0"/>
    <m/>
    <n v="0"/>
    <m/>
    <n v="0"/>
    <m/>
    <n v="0"/>
    <n v="14"/>
    <n v="112"/>
    <n v="110.33"/>
    <n v="-1.6700000000000017"/>
    <m/>
    <n v="0"/>
    <m/>
    <n v="0"/>
    <m/>
    <n v="0"/>
    <n v="2"/>
    <n v="14"/>
    <n v="124.33"/>
  </r>
  <r>
    <x v="5"/>
    <n v="7"/>
    <s v="Apr 2026"/>
    <x v="32"/>
    <x v="5"/>
    <n v="16"/>
    <n v="128"/>
    <n v="17.940000000000001"/>
    <n v="145.94"/>
    <n v="12"/>
    <n v="96"/>
    <n v="13.78"/>
    <n v="109.78"/>
    <n v="18"/>
    <n v="144"/>
    <n v="21.58"/>
    <n v="165.57999999999998"/>
    <n v="46"/>
    <n v="368"/>
    <n v="421.3"/>
    <n v="53.300000000000011"/>
    <n v="1"/>
    <n v="8"/>
    <n v="2"/>
    <n v="16"/>
    <n v="0"/>
    <n v="0"/>
    <n v="16"/>
    <n v="145"/>
    <n v="590.29999999999995"/>
  </r>
  <r>
    <x v="6"/>
    <n v="1"/>
    <s v="Apr 2026"/>
    <x v="33"/>
    <x v="6"/>
    <n v="17"/>
    <n v="136"/>
    <n v="9.84"/>
    <n v="145.84"/>
    <n v="14"/>
    <n v="112"/>
    <n v="-1.1000000000000001"/>
    <n v="110.9"/>
    <n v="14"/>
    <n v="112"/>
    <n v="-0.8"/>
    <n v="111.2"/>
    <n v="45"/>
    <n v="360"/>
    <n v="367.94"/>
    <n v="7.9399999999999977"/>
    <n v="5"/>
    <n v="40"/>
    <n v="2"/>
    <n v="16"/>
    <n v="0"/>
    <n v="0"/>
    <n v="10"/>
    <n v="83"/>
    <n v="506.94"/>
  </r>
  <r>
    <x v="6"/>
    <n v="2"/>
    <s v="Apr 2026"/>
    <x v="34"/>
    <x v="0"/>
    <n v="20"/>
    <n v="160"/>
    <n v="5.79"/>
    <n v="165.79"/>
    <n v="13"/>
    <n v="104"/>
    <n v="8.16"/>
    <n v="112.16"/>
    <n v="14"/>
    <n v="112"/>
    <n v="2.34"/>
    <n v="114.34"/>
    <n v="47"/>
    <n v="376"/>
    <n v="392.28999999999996"/>
    <n v="16.289999999999964"/>
    <n v="6"/>
    <n v="48"/>
    <n v="2"/>
    <n v="16"/>
    <n v="0"/>
    <n v="0"/>
    <n v="5"/>
    <n v="43.5"/>
    <n v="499.78999999999996"/>
  </r>
  <r>
    <x v="6"/>
    <n v="3"/>
    <s v="Apr 2026"/>
    <x v="35"/>
    <x v="1"/>
    <n v="19"/>
    <n v="152"/>
    <n v="10.42"/>
    <n v="162.41999999999999"/>
    <n v="14"/>
    <n v="112"/>
    <n v="-0.25"/>
    <n v="111.75"/>
    <n v="13"/>
    <n v="104"/>
    <n v="7.5"/>
    <n v="111.5"/>
    <n v="46"/>
    <n v="368"/>
    <n v="385.66999999999996"/>
    <n v="17.669999999999959"/>
    <n v="6"/>
    <n v="48"/>
    <n v="3"/>
    <n v="24"/>
    <n v="2"/>
    <n v="16"/>
    <n v="13"/>
    <n v="111.5"/>
    <n v="585.16999999999996"/>
  </r>
  <r>
    <x v="6"/>
    <n v="4"/>
    <s v="Apr 2026"/>
    <x v="36"/>
    <x v="2"/>
    <n v="18"/>
    <n v="144"/>
    <n v="13.03"/>
    <n v="157.03"/>
    <n v="13"/>
    <n v="104"/>
    <n v="3.89"/>
    <n v="107.89"/>
    <n v="14"/>
    <n v="112"/>
    <n v="0"/>
    <n v="112"/>
    <n v="45"/>
    <n v="360"/>
    <n v="376.91999999999996"/>
    <n v="16.919999999999959"/>
    <n v="6"/>
    <n v="48"/>
    <n v="3"/>
    <n v="24"/>
    <n v="2"/>
    <n v="16"/>
    <n v="7"/>
    <n v="61.3"/>
    <n v="526.21999999999991"/>
  </r>
  <r>
    <x v="6"/>
    <n v="5"/>
    <s v="Apr 2026"/>
    <x v="37"/>
    <x v="3"/>
    <n v="19"/>
    <n v="152"/>
    <n v="11.07"/>
    <n v="163.07"/>
    <n v="12"/>
    <n v="96"/>
    <n v="15.02"/>
    <n v="111.02"/>
    <n v="17"/>
    <n v="136"/>
    <n v="15.03"/>
    <n v="151.03"/>
    <n v="48"/>
    <n v="384"/>
    <n v="425.11999999999995"/>
    <n v="41.119999999999948"/>
    <m/>
    <n v="0"/>
    <m/>
    <n v="0"/>
    <m/>
    <n v="0"/>
    <n v="11"/>
    <n v="100.3"/>
    <n v="525.41999999999996"/>
  </r>
  <r>
    <x v="6"/>
    <n v="6"/>
    <s v="Apr 2026"/>
    <x v="38"/>
    <x v="4"/>
    <n v="13"/>
    <n v="104"/>
    <n v="10.5"/>
    <n v="114.5"/>
    <m/>
    <n v="0"/>
    <m/>
    <n v="0"/>
    <m/>
    <n v="0"/>
    <m/>
    <n v="0"/>
    <n v="13"/>
    <n v="104"/>
    <n v="114.5"/>
    <n v="10.5"/>
    <m/>
    <n v="0"/>
    <m/>
    <n v="0"/>
    <m/>
    <n v="0"/>
    <n v="3"/>
    <n v="24"/>
    <n v="138.5"/>
  </r>
  <r>
    <x v="6"/>
    <n v="7"/>
    <s v="Apr 2026"/>
    <x v="39"/>
    <x v="5"/>
    <n v="17"/>
    <n v="136"/>
    <n v="16.399999999999999"/>
    <n v="152.4"/>
    <n v="12"/>
    <n v="96"/>
    <n v="13.52"/>
    <n v="109.52"/>
    <n v="18"/>
    <n v="144"/>
    <n v="21.58"/>
    <n v="165.57999999999998"/>
    <n v="47"/>
    <n v="376"/>
    <n v="427.5"/>
    <n v="51.5"/>
    <n v="0"/>
    <n v="0"/>
    <n v="1"/>
    <n v="8"/>
    <n v="0"/>
    <n v="0"/>
    <n v="20"/>
    <n v="177"/>
    <n v="612.5"/>
  </r>
  <r>
    <x v="7"/>
    <n v="1"/>
    <s v="Apr 2026"/>
    <x v="40"/>
    <x v="6"/>
    <n v="17"/>
    <n v="136"/>
    <n v="2.59"/>
    <n v="138.59"/>
    <n v="13"/>
    <n v="104"/>
    <n v="2.16"/>
    <n v="106.16"/>
    <n v="15"/>
    <n v="120"/>
    <n v="-2.19"/>
    <n v="117.81"/>
    <n v="45"/>
    <n v="360"/>
    <n v="362.56"/>
    <n v="2.5600000000000023"/>
    <n v="5"/>
    <n v="40"/>
    <n v="2"/>
    <n v="16"/>
    <n v="0"/>
    <n v="0"/>
    <n v="10"/>
    <n v="91"/>
    <n v="509.56"/>
  </r>
  <r>
    <x v="7"/>
    <n v="2"/>
    <s v="Apr 2026"/>
    <x v="41"/>
    <x v="0"/>
    <n v="18"/>
    <n v="144"/>
    <n v="21.49"/>
    <n v="165.49"/>
    <n v="12"/>
    <n v="96"/>
    <n v="5.86"/>
    <n v="101.86"/>
    <n v="13"/>
    <n v="104"/>
    <n v="3.45"/>
    <n v="107.45"/>
    <n v="43"/>
    <n v="344"/>
    <n v="374.8"/>
    <n v="30.800000000000011"/>
    <n v="6"/>
    <n v="48"/>
    <n v="5"/>
    <n v="40"/>
    <n v="0"/>
    <n v="0"/>
    <n v="8"/>
    <n v="67"/>
    <n v="529.79999999999995"/>
  </r>
  <r>
    <x v="7"/>
    <n v="3"/>
    <s v="Apr 2026"/>
    <x v="42"/>
    <x v="1"/>
    <n v="17"/>
    <n v="136"/>
    <n v="14"/>
    <n v="150"/>
    <n v="11"/>
    <n v="88"/>
    <n v="5.08"/>
    <n v="93.08"/>
    <n v="13"/>
    <n v="104"/>
    <n v="8.4"/>
    <n v="112.4"/>
    <n v="41"/>
    <n v="328"/>
    <n v="355.48"/>
    <n v="27.480000000000018"/>
    <m/>
    <n v="0"/>
    <m/>
    <n v="0"/>
    <m/>
    <n v="0"/>
    <n v="8"/>
    <n v="66.67"/>
    <n v="422.15000000000003"/>
  </r>
  <r>
    <x v="7"/>
    <n v="4"/>
    <s v="Apr 2026"/>
    <x v="43"/>
    <x v="2"/>
    <n v="21"/>
    <n v="168"/>
    <n v="14.35"/>
    <n v="182.35"/>
    <n v="13"/>
    <n v="104"/>
    <n v="3.96"/>
    <n v="107.96"/>
    <n v="14"/>
    <n v="112"/>
    <n v="6.04"/>
    <n v="118.04"/>
    <n v="48"/>
    <n v="384"/>
    <n v="408.35"/>
    <n v="24.350000000000023"/>
    <n v="7"/>
    <n v="56"/>
    <n v="3"/>
    <n v="24"/>
    <n v="0"/>
    <n v="0"/>
    <n v="6"/>
    <n v="49"/>
    <n v="537.35"/>
  </r>
  <r>
    <x v="7"/>
    <n v="5"/>
    <s v="Apr 2026"/>
    <x v="44"/>
    <x v="3"/>
    <n v="21"/>
    <n v="168"/>
    <n v="16.399999999999999"/>
    <n v="184.4"/>
    <n v="12"/>
    <n v="96"/>
    <n v="23.7"/>
    <n v="119.7"/>
    <n v="15"/>
    <n v="120"/>
    <n v="10.87"/>
    <n v="130.87"/>
    <n v="48"/>
    <n v="384"/>
    <n v="434.96999999999997"/>
    <n v="50.96999999999997"/>
    <m/>
    <n v="0"/>
    <m/>
    <n v="0"/>
    <m/>
    <n v="0"/>
    <n v="10"/>
    <n v="89"/>
    <n v="523.97"/>
  </r>
  <r>
    <x v="7"/>
    <n v="6"/>
    <s v="May 2026"/>
    <x v="45"/>
    <x v="4"/>
    <n v="12"/>
    <n v="96"/>
    <n v="6.03"/>
    <n v="102.03"/>
    <m/>
    <n v="0"/>
    <m/>
    <n v="0"/>
    <m/>
    <n v="0"/>
    <m/>
    <n v="0"/>
    <n v="12"/>
    <n v="96"/>
    <n v="102.03"/>
    <n v="6.0300000000000011"/>
    <m/>
    <n v="0"/>
    <m/>
    <n v="0"/>
    <m/>
    <n v="0"/>
    <n v="5"/>
    <n v="40"/>
    <n v="142.03"/>
  </r>
  <r>
    <x v="7"/>
    <n v="7"/>
    <s v="May 2026"/>
    <x v="46"/>
    <x v="5"/>
    <n v="17"/>
    <n v="136"/>
    <n v="1.63"/>
    <n v="137.63"/>
    <n v="14"/>
    <n v="112"/>
    <n v="2.62"/>
    <n v="114.62"/>
    <n v="14"/>
    <n v="112"/>
    <n v="3.66"/>
    <n v="115.66"/>
    <n v="45"/>
    <n v="360"/>
    <n v="367.91"/>
    <n v="7.910000000000025"/>
    <n v="1"/>
    <n v="8"/>
    <n v="3"/>
    <n v="24"/>
    <n v="0"/>
    <n v="0"/>
    <n v="13"/>
    <n v="97.5"/>
    <n v="497.41"/>
  </r>
  <r>
    <x v="8"/>
    <n v="1"/>
    <s v="May 2026"/>
    <x v="47"/>
    <x v="6"/>
    <n v="16"/>
    <n v="128"/>
    <n v="9.0299999999999994"/>
    <n v="137.03"/>
    <n v="13"/>
    <n v="104"/>
    <n v="5.72"/>
    <n v="109.72"/>
    <n v="14"/>
    <n v="112"/>
    <n v="-13.84"/>
    <n v="98.16"/>
    <n v="43"/>
    <n v="344"/>
    <n v="344.91"/>
    <n v="0.91000000000002501"/>
    <n v="4"/>
    <n v="32"/>
    <n v="4"/>
    <n v="32"/>
    <n v="0"/>
    <n v="0"/>
    <n v="8"/>
    <n v="73"/>
    <n v="481.91"/>
  </r>
  <r>
    <x v="8"/>
    <n v="2"/>
    <s v="May 2026"/>
    <x v="48"/>
    <x v="0"/>
    <n v="18"/>
    <n v="144"/>
    <n v="14.87"/>
    <n v="158.87"/>
    <n v="11"/>
    <n v="88"/>
    <n v="-0.56999999999999995"/>
    <n v="87.43"/>
    <n v="13"/>
    <n v="104"/>
    <n v="4.6500000000000004"/>
    <n v="108.65"/>
    <n v="42"/>
    <n v="336"/>
    <n v="354.95"/>
    <n v="18.949999999999989"/>
    <n v="5"/>
    <n v="40"/>
    <n v="8"/>
    <n v="64"/>
    <n v="0"/>
    <n v="0"/>
    <n v="9"/>
    <n v="72.3"/>
    <n v="531.25"/>
  </r>
  <r>
    <x v="8"/>
    <n v="3"/>
    <s v="May 2026"/>
    <x v="49"/>
    <x v="1"/>
    <n v="20"/>
    <n v="160"/>
    <n v="15.54"/>
    <n v="175.54"/>
    <n v="12"/>
    <n v="96"/>
    <n v="1.95"/>
    <n v="97.95"/>
    <n v="13"/>
    <n v="104"/>
    <n v="13.16"/>
    <n v="117.16"/>
    <n v="45"/>
    <n v="360"/>
    <n v="390.65"/>
    <n v="30.649999999999977"/>
    <n v="6"/>
    <n v="48"/>
    <n v="4"/>
    <n v="32"/>
    <n v="1"/>
    <n v="8"/>
    <n v="10"/>
    <n v="84"/>
    <n v="562.65"/>
  </r>
  <r>
    <x v="8"/>
    <n v="4"/>
    <s v="May 2026"/>
    <x v="50"/>
    <x v="2"/>
    <n v="19"/>
    <n v="152"/>
    <n v="1.5"/>
    <n v="153.5"/>
    <n v="13"/>
    <n v="104"/>
    <n v="11"/>
    <n v="115"/>
    <n v="12"/>
    <n v="96"/>
    <n v="11.95"/>
    <n v="107.95"/>
    <n v="44"/>
    <n v="352"/>
    <n v="376.45"/>
    <n v="24.449999999999989"/>
    <m/>
    <n v="0"/>
    <m/>
    <n v="0"/>
    <m/>
    <n v="0"/>
    <n v="6"/>
    <n v="46.5"/>
    <n v="422.95"/>
  </r>
  <r>
    <x v="8"/>
    <n v="5"/>
    <s v="May 2026"/>
    <x v="51"/>
    <x v="3"/>
    <n v="18"/>
    <n v="144"/>
    <n v="17.12"/>
    <n v="161.12"/>
    <n v="12"/>
    <n v="96"/>
    <n v="23.22"/>
    <n v="119.22"/>
    <n v="15"/>
    <n v="120"/>
    <n v="17.55"/>
    <n v="137.55000000000001"/>
    <n v="45"/>
    <n v="360"/>
    <n v="417.89000000000004"/>
    <n v="57.890000000000043"/>
    <m/>
    <n v="0"/>
    <m/>
    <n v="0"/>
    <m/>
    <n v="0"/>
    <n v="14"/>
    <n v="122.8"/>
    <n v="540.69000000000005"/>
  </r>
  <r>
    <x v="8"/>
    <n v="6"/>
    <s v="May 2026"/>
    <x v="52"/>
    <x v="4"/>
    <n v="13"/>
    <n v="104"/>
    <n v="5.54"/>
    <n v="109.54"/>
    <m/>
    <n v="0"/>
    <m/>
    <n v="0"/>
    <m/>
    <n v="0"/>
    <m/>
    <n v="0"/>
    <n v="13"/>
    <n v="104"/>
    <n v="109.54"/>
    <n v="5.5400000000000063"/>
    <n v="1"/>
    <n v="8"/>
    <n v="0"/>
    <n v="0"/>
    <n v="0"/>
    <n v="0"/>
    <n v="5"/>
    <n v="42"/>
    <n v="159.54000000000002"/>
  </r>
  <r>
    <x v="8"/>
    <n v="7"/>
    <s v="May 2026"/>
    <x v="53"/>
    <x v="5"/>
    <n v="18"/>
    <n v="144"/>
    <n v="14.89"/>
    <n v="158.88999999999999"/>
    <n v="13"/>
    <n v="104"/>
    <n v="11.97"/>
    <n v="115.97"/>
    <n v="12"/>
    <n v="96"/>
    <n v="32"/>
    <n v="128"/>
    <n v="43"/>
    <n v="344"/>
    <n v="402.86"/>
    <n v="58.860000000000014"/>
    <n v="1"/>
    <n v="8"/>
    <n v="2"/>
    <n v="16"/>
    <n v="3"/>
    <n v="24"/>
    <n v="18"/>
    <n v="162"/>
    <n v="612.86"/>
  </r>
  <r>
    <x v="9"/>
    <n v="1"/>
    <s v="May 2026"/>
    <x v="54"/>
    <x v="6"/>
    <n v="15"/>
    <n v="120"/>
    <n v="20.91"/>
    <n v="140.91"/>
    <n v="13"/>
    <n v="104"/>
    <n v="7"/>
    <n v="111"/>
    <n v="13"/>
    <n v="104"/>
    <n v="1.7"/>
    <n v="105.7"/>
    <n v="41"/>
    <n v="328"/>
    <n v="357.60999999999996"/>
    <n v="29.609999999999957"/>
    <n v="4"/>
    <n v="32"/>
    <n v="5"/>
    <n v="40"/>
    <n v="1"/>
    <n v="8"/>
    <n v="12"/>
    <n v="110.5"/>
    <n v="548.1099999999999"/>
  </r>
  <r>
    <x v="9"/>
    <n v="2"/>
    <s v="May 2026"/>
    <x v="55"/>
    <x v="0"/>
    <n v="19"/>
    <n v="152"/>
    <n v="6.34"/>
    <n v="158.34"/>
    <n v="14"/>
    <n v="112"/>
    <n v="6.64"/>
    <n v="118.64"/>
    <n v="13"/>
    <n v="104"/>
    <n v="0"/>
    <n v="104"/>
    <n v="46"/>
    <n v="368"/>
    <n v="380.98"/>
    <n v="12.980000000000018"/>
    <n v="5"/>
    <n v="40"/>
    <n v="5"/>
    <n v="40"/>
    <n v="2"/>
    <n v="16"/>
    <n v="10"/>
    <n v="84"/>
    <n v="560.98"/>
  </r>
  <r>
    <x v="9"/>
    <n v="3"/>
    <s v="May 2026"/>
    <x v="56"/>
    <x v="1"/>
    <n v="16"/>
    <n v="128"/>
    <n v="6.2"/>
    <n v="134.19999999999999"/>
    <n v="13"/>
    <n v="104"/>
    <n v="9.9499999999999993"/>
    <n v="113.95"/>
    <n v="13"/>
    <n v="104"/>
    <n v="9.25"/>
    <n v="113.25"/>
    <n v="42"/>
    <n v="336"/>
    <n v="361.4"/>
    <n v="25.399999999999977"/>
    <m/>
    <n v="0"/>
    <m/>
    <n v="0"/>
    <m/>
    <n v="0"/>
    <n v="16"/>
    <n v="129.5"/>
    <n v="490.9"/>
  </r>
  <r>
    <x v="9"/>
    <n v="4"/>
    <s v="May 2026"/>
    <x v="57"/>
    <x v="2"/>
    <n v="15"/>
    <n v="120"/>
    <n v="1.23"/>
    <n v="121.23"/>
    <n v="13"/>
    <n v="104"/>
    <n v="9.57"/>
    <n v="113.57"/>
    <n v="14"/>
    <n v="112"/>
    <n v="13.67"/>
    <n v="125.67"/>
    <n v="42"/>
    <n v="336"/>
    <n v="360.47"/>
    <n v="24.470000000000027"/>
    <m/>
    <n v="0"/>
    <m/>
    <n v="0"/>
    <m/>
    <n v="0"/>
    <n v="14"/>
    <n v="112"/>
    <n v="472.47"/>
  </r>
  <r>
    <x v="9"/>
    <n v="5"/>
    <s v="May 2026"/>
    <x v="58"/>
    <x v="3"/>
    <n v="17"/>
    <n v="136"/>
    <n v="12.18"/>
    <n v="148.18"/>
    <n v="13"/>
    <n v="104"/>
    <n v="26.12"/>
    <n v="130.12"/>
    <n v="16"/>
    <n v="128"/>
    <n v="21.12"/>
    <n v="149.12"/>
    <n v="46"/>
    <n v="368"/>
    <n v="427.42"/>
    <n v="59.420000000000016"/>
    <n v="5"/>
    <n v="40"/>
    <n v="6"/>
    <n v="48"/>
    <n v="3"/>
    <n v="24"/>
    <n v="20"/>
    <n v="164.92"/>
    <n v="704.34"/>
  </r>
  <r>
    <x v="9"/>
    <n v="6"/>
    <s v="May 2026"/>
    <x v="59"/>
    <x v="4"/>
    <n v="13"/>
    <n v="104"/>
    <n v="25.43"/>
    <n v="129.43"/>
    <n v="13"/>
    <n v="104"/>
    <n v="41.27"/>
    <n v="145.27000000000001"/>
    <n v="4"/>
    <n v="32"/>
    <n v="6.1"/>
    <n v="38.1"/>
    <n v="30"/>
    <n v="240"/>
    <n v="312.8"/>
    <n v="72.800000000000011"/>
    <m/>
    <n v="0"/>
    <m/>
    <n v="0"/>
    <m/>
    <n v="0"/>
    <n v="24"/>
    <n v="216"/>
    <n v="528.79999999999995"/>
  </r>
  <r>
    <x v="9"/>
    <n v="7"/>
    <s v="May 2026"/>
    <x v="60"/>
    <x v="5"/>
    <n v="16"/>
    <n v="128"/>
    <n v="27.12"/>
    <n v="155.12"/>
    <n v="12"/>
    <n v="96"/>
    <n v="24.5"/>
    <n v="120.5"/>
    <n v="15"/>
    <n v="120"/>
    <n v="17.78"/>
    <n v="137.78"/>
    <n v="43"/>
    <n v="344"/>
    <n v="413.4"/>
    <n v="69.399999999999977"/>
    <m/>
    <n v="0"/>
    <m/>
    <n v="0"/>
    <m/>
    <n v="0"/>
    <n v="19"/>
    <n v="186.5"/>
    <n v="599.9"/>
  </r>
  <r>
    <x v="10"/>
    <n v="1"/>
    <s v="May 2026"/>
    <x v="61"/>
    <x v="6"/>
    <n v="3"/>
    <n v="24"/>
    <n v="10.65"/>
    <n v="34.65"/>
    <m/>
    <n v="0"/>
    <m/>
    <n v="0"/>
    <n v="11"/>
    <n v="88"/>
    <n v="-8.15"/>
    <n v="79.849999999999994"/>
    <n v="14"/>
    <n v="112"/>
    <n v="114.5"/>
    <n v="2.5"/>
    <m/>
    <n v="0"/>
    <m/>
    <n v="0"/>
    <m/>
    <n v="0"/>
    <n v="8"/>
    <n v="61"/>
    <n v="175.5"/>
  </r>
  <r>
    <x v="10"/>
    <n v="2"/>
    <s v="May 2026"/>
    <x v="62"/>
    <x v="0"/>
    <n v="19"/>
    <n v="152"/>
    <n v="24.77"/>
    <n v="176.77"/>
    <n v="13"/>
    <n v="104"/>
    <n v="8.4600000000000009"/>
    <n v="112.46000000000001"/>
    <n v="13"/>
    <n v="104"/>
    <n v="21"/>
    <n v="125"/>
    <n v="45"/>
    <n v="360"/>
    <n v="414.22999999999996"/>
    <n v="54.229999999999961"/>
    <n v="6"/>
    <n v="48"/>
    <n v="4"/>
    <n v="32"/>
    <n v="3"/>
    <n v="24"/>
    <n v="8"/>
    <n v="77"/>
    <n v="595.23"/>
  </r>
  <r>
    <x v="10"/>
    <n v="3"/>
    <s v="May 2026"/>
    <x v="63"/>
    <x v="1"/>
    <n v="18"/>
    <n v="144"/>
    <n v="21.8"/>
    <n v="165.8"/>
    <n v="11"/>
    <n v="88"/>
    <n v="8.59"/>
    <n v="96.59"/>
    <n v="14"/>
    <n v="112"/>
    <n v="0"/>
    <n v="112"/>
    <n v="43"/>
    <n v="344"/>
    <n v="374.39"/>
    <n v="30.389999999999986"/>
    <n v="7"/>
    <n v="56"/>
    <n v="7"/>
    <n v="56"/>
    <n v="3"/>
    <n v="24"/>
    <n v="8"/>
    <n v="69"/>
    <n v="579.39"/>
  </r>
  <r>
    <x v="10"/>
    <n v="4"/>
    <s v="May 2026"/>
    <x v="64"/>
    <x v="2"/>
    <n v="20"/>
    <n v="160"/>
    <n v="12.23"/>
    <n v="172.23"/>
    <n v="13"/>
    <n v="104"/>
    <n v="3.05"/>
    <n v="107.05"/>
    <n v="13"/>
    <n v="104"/>
    <n v="7.87"/>
    <n v="111.87"/>
    <n v="46"/>
    <n v="368"/>
    <n v="391.15000000000003"/>
    <n v="23.150000000000034"/>
    <n v="7"/>
    <n v="56"/>
    <n v="4"/>
    <n v="32"/>
    <n v="4"/>
    <n v="32"/>
    <n v="6"/>
    <n v="51"/>
    <n v="562.15000000000009"/>
  </r>
  <r>
    <x v="10"/>
    <n v="5"/>
    <s v="May 2026"/>
    <x v="65"/>
    <x v="3"/>
    <n v="19"/>
    <n v="152"/>
    <n v="-2.6"/>
    <n v="149.4"/>
    <n v="15"/>
    <n v="120"/>
    <n v="26.83"/>
    <n v="146.82999999999998"/>
    <n v="15"/>
    <n v="120"/>
    <n v="19.77"/>
    <n v="139.77000000000001"/>
    <n v="49"/>
    <n v="392"/>
    <n v="435.99999999999994"/>
    <n v="43.999999999999943"/>
    <m/>
    <n v="0"/>
    <m/>
    <n v="0"/>
    <m/>
    <n v="0"/>
    <n v="9"/>
    <n v="85"/>
    <n v="521"/>
  </r>
  <r>
    <x v="10"/>
    <n v="6"/>
    <s v="May 2026"/>
    <x v="66"/>
    <x v="4"/>
    <n v="15"/>
    <n v="120"/>
    <n v="7.42"/>
    <n v="127.42"/>
    <m/>
    <n v="0"/>
    <m/>
    <n v="0"/>
    <m/>
    <n v="0"/>
    <m/>
    <n v="0"/>
    <n v="15"/>
    <n v="120"/>
    <n v="127.42"/>
    <n v="7.4200000000000017"/>
    <m/>
    <n v="0"/>
    <m/>
    <n v="0"/>
    <m/>
    <n v="0"/>
    <n v="3"/>
    <n v="22.5"/>
    <n v="149.92000000000002"/>
  </r>
  <r>
    <x v="10"/>
    <n v="7"/>
    <s v="May 2026"/>
    <x v="67"/>
    <x v="5"/>
    <n v="21"/>
    <n v="168"/>
    <n v="17.579999999999998"/>
    <n v="185.57999999999998"/>
    <n v="14"/>
    <n v="112"/>
    <n v="14.71"/>
    <n v="126.71000000000001"/>
    <n v="14"/>
    <n v="112"/>
    <n v="14.36"/>
    <n v="126.36"/>
    <n v="49"/>
    <n v="392"/>
    <n v="438.65"/>
    <n v="46.649999999999977"/>
    <n v="3"/>
    <n v="24"/>
    <n v="3"/>
    <n v="24"/>
    <n v="0"/>
    <n v="0"/>
    <n v="10"/>
    <n v="86"/>
    <n v="572.65"/>
  </r>
  <r>
    <x v="11"/>
    <n v="1"/>
    <s v="May 2026"/>
    <x v="68"/>
    <x v="6"/>
    <n v="16"/>
    <n v="128"/>
    <n v="11.06"/>
    <n v="139.06"/>
    <n v="15"/>
    <n v="120"/>
    <n v="12.84"/>
    <n v="132.84"/>
    <n v="13"/>
    <n v="104"/>
    <n v="10.5"/>
    <n v="114.5"/>
    <n v="44"/>
    <n v="352"/>
    <n v="386.4"/>
    <n v="34.399999999999977"/>
    <n v="3"/>
    <n v="24"/>
    <n v="7"/>
    <n v="56"/>
    <n v="0"/>
    <n v="0"/>
    <n v="11"/>
    <n v="104"/>
    <n v="570.4"/>
  </r>
  <r>
    <x v="11"/>
    <n v="2"/>
    <s v="May 2026"/>
    <x v="69"/>
    <x v="0"/>
    <n v="22"/>
    <n v="176"/>
    <n v="7.93"/>
    <n v="183.93"/>
    <n v="14"/>
    <n v="112"/>
    <n v="6.38"/>
    <n v="118.38"/>
    <n v="12"/>
    <n v="96"/>
    <n v="16.059999999999999"/>
    <n v="112.06"/>
    <n v="48"/>
    <n v="384"/>
    <n v="414.37"/>
    <n v="30.370000000000005"/>
    <n v="4"/>
    <n v="32"/>
    <n v="5"/>
    <n v="40"/>
    <n v="1"/>
    <n v="8"/>
    <n v="8"/>
    <n v="64.25"/>
    <n v="558.62"/>
  </r>
  <r>
    <x v="11"/>
    <n v="3"/>
    <s v="May 2026"/>
    <x v="70"/>
    <x v="1"/>
    <n v="22"/>
    <n v="176"/>
    <n v="20.88"/>
    <n v="196.88"/>
    <n v="13"/>
    <n v="104"/>
    <n v="7"/>
    <n v="111"/>
    <n v="14"/>
    <n v="112"/>
    <n v="6.6"/>
    <n v="118.6"/>
    <n v="49"/>
    <n v="392"/>
    <n v="426.48"/>
    <n v="34.480000000000018"/>
    <n v="6"/>
    <n v="48"/>
    <n v="5"/>
    <n v="40"/>
    <n v="1"/>
    <n v="8"/>
    <n v="6"/>
    <n v="56"/>
    <n v="578.48"/>
  </r>
  <r>
    <x v="11"/>
    <n v="4"/>
    <s v="May 2026"/>
    <x v="71"/>
    <x v="2"/>
    <n v="21"/>
    <n v="168"/>
    <n v="19.45"/>
    <n v="187.45"/>
    <n v="13"/>
    <n v="104"/>
    <n v="7"/>
    <n v="111"/>
    <n v="13"/>
    <n v="104"/>
    <n v="6.05"/>
    <n v="110.05"/>
    <n v="47"/>
    <n v="376"/>
    <n v="408.5"/>
    <n v="32.5"/>
    <m/>
    <n v="0"/>
    <m/>
    <n v="0"/>
    <m/>
    <n v="0"/>
    <n v="8"/>
    <n v="70.849999999999994"/>
    <n v="479.35"/>
  </r>
  <r>
    <x v="11"/>
    <n v="5"/>
    <s v="May 2026"/>
    <x v="72"/>
    <x v="3"/>
    <n v="21"/>
    <n v="168"/>
    <n v="5.76"/>
    <n v="173.76"/>
    <n v="14"/>
    <n v="112"/>
    <n v="26.29"/>
    <n v="138.29"/>
    <n v="16"/>
    <n v="128"/>
    <n v="12.75"/>
    <n v="140.75"/>
    <n v="51"/>
    <n v="408"/>
    <n v="452.8"/>
    <n v="44.800000000000011"/>
    <n v="6"/>
    <n v="48"/>
    <n v="4"/>
    <n v="32"/>
    <n v="0"/>
    <n v="0"/>
    <n v="11"/>
    <n v="103"/>
    <n v="635.79999999999995"/>
  </r>
  <r>
    <x v="11"/>
    <n v="6"/>
    <s v="May 2026"/>
    <x v="73"/>
    <x v="4"/>
    <n v="14"/>
    <n v="112"/>
    <n v="13.02"/>
    <n v="125.02"/>
    <m/>
    <n v="0"/>
    <m/>
    <n v="0"/>
    <m/>
    <n v="0"/>
    <m/>
    <n v="0"/>
    <n v="14"/>
    <n v="112"/>
    <n v="125.02"/>
    <n v="13.019999999999996"/>
    <m/>
    <n v="0"/>
    <m/>
    <n v="0"/>
    <m/>
    <n v="0"/>
    <n v="5"/>
    <n v="30.9"/>
    <n v="155.91999999999999"/>
  </r>
  <r>
    <x v="11"/>
    <n v="7"/>
    <s v="May 2026"/>
    <x v="74"/>
    <x v="5"/>
    <n v="17"/>
    <n v="136"/>
    <n v="16.239999999999998"/>
    <n v="152.24"/>
    <n v="13"/>
    <n v="104"/>
    <n v="23.27"/>
    <n v="127.27"/>
    <n v="16"/>
    <n v="128"/>
    <n v="10.6"/>
    <n v="138.6"/>
    <n v="46"/>
    <n v="368"/>
    <n v="418.11"/>
    <n v="50.110000000000014"/>
    <n v="3"/>
    <n v="24"/>
    <n v="4"/>
    <n v="32"/>
    <n v="0"/>
    <n v="0"/>
    <n v="17"/>
    <n v="155.25"/>
    <n v="629.36"/>
  </r>
  <r>
    <x v="12"/>
    <n v="1"/>
    <s v="May 2026"/>
    <x v="75"/>
    <x v="6"/>
    <n v="18"/>
    <n v="144"/>
    <n v="16.670000000000002"/>
    <n v="160.67000000000002"/>
    <n v="11"/>
    <n v="88"/>
    <n v="7.75"/>
    <n v="95.75"/>
    <n v="15"/>
    <n v="120"/>
    <n v="-0.85"/>
    <n v="119.15"/>
    <n v="44"/>
    <n v="352"/>
    <n v="375.57"/>
    <n v="23.569999999999993"/>
    <n v="4"/>
    <n v="32"/>
    <n v="3"/>
    <n v="24"/>
    <n v="2"/>
    <n v="16"/>
    <n v="11"/>
    <n v="94"/>
    <n v="541.56999999999994"/>
  </r>
  <r>
    <x v="12"/>
    <n v="2"/>
    <s v="Jun 2026"/>
    <x v="76"/>
    <x v="0"/>
    <n v="22"/>
    <n v="176"/>
    <n v="4.5"/>
    <n v="180.5"/>
    <n v="14"/>
    <n v="112"/>
    <n v="7.9"/>
    <n v="119.9"/>
    <n v="14"/>
    <n v="112"/>
    <n v="-10.02"/>
    <n v="101.98"/>
    <n v="50"/>
    <n v="400"/>
    <n v="402.38"/>
    <n v="2.3799999999999955"/>
    <n v="5"/>
    <n v="40"/>
    <n v="0"/>
    <n v="0"/>
    <n v="1"/>
    <n v="8"/>
    <n v="4"/>
    <n v="40"/>
    <n v="490.38"/>
  </r>
  <r>
    <x v="12"/>
    <n v="3"/>
    <s v="Jun 2026"/>
    <x v="77"/>
    <x v="1"/>
    <n v="21"/>
    <n v="168"/>
    <n v="13.47"/>
    <n v="181.47"/>
    <n v="12"/>
    <n v="96"/>
    <n v="5.96"/>
    <n v="101.96"/>
    <n v="15"/>
    <n v="120"/>
    <n v="-1.08"/>
    <n v="118.92"/>
    <n v="48"/>
    <n v="384"/>
    <n v="402.35"/>
    <n v="18.350000000000023"/>
    <n v="6"/>
    <n v="48"/>
    <n v="2"/>
    <n v="16"/>
    <n v="3"/>
    <n v="24"/>
    <n v="6"/>
    <n v="57.5"/>
    <n v="547.85"/>
  </r>
  <r>
    <x v="12"/>
    <n v="4"/>
    <s v="Jun 2026"/>
    <x v="78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n v="8"/>
    <n v="64"/>
    <n v="64"/>
  </r>
  <r>
    <x v="12"/>
    <n v="5"/>
    <s v="Jun 2026"/>
    <x v="79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n v="9"/>
    <n v="88"/>
    <n v="88"/>
  </r>
  <r>
    <x v="12"/>
    <n v="6"/>
    <s v="Jun 2026"/>
    <x v="80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n v="6"/>
    <n v="43.5"/>
    <n v="43.5"/>
  </r>
  <r>
    <x v="12"/>
    <n v="7"/>
    <s v="Jun 2026"/>
    <x v="81"/>
    <x v="5"/>
    <n v="19"/>
    <n v="152"/>
    <n v="13.64"/>
    <n v="165.64"/>
    <n v="13"/>
    <n v="104"/>
    <n v="25.31"/>
    <n v="129.31"/>
    <n v="16"/>
    <n v="128"/>
    <n v="14.99"/>
    <n v="142.99"/>
    <n v="48"/>
    <n v="384"/>
    <n v="437.94"/>
    <n v="53.94"/>
    <n v="3"/>
    <n v="24"/>
    <n v="0"/>
    <n v="0"/>
    <n v="1"/>
    <n v="8"/>
    <n v="12"/>
    <n v="115.25"/>
    <n v="585.19000000000005"/>
  </r>
  <r>
    <x v="13"/>
    <n v="1"/>
    <s v="Jun 2026"/>
    <x v="82"/>
    <x v="6"/>
    <n v="15"/>
    <n v="120"/>
    <n v="16.14"/>
    <n v="136.13999999999999"/>
    <n v="12"/>
    <n v="96"/>
    <n v="3.01"/>
    <n v="99.01"/>
    <n v="12"/>
    <n v="96"/>
    <n v="1.66"/>
    <n v="97.66"/>
    <n v="39"/>
    <n v="312"/>
    <n v="332.81"/>
    <n v="20.810000000000002"/>
    <n v="4"/>
    <n v="32"/>
    <n v="2"/>
    <n v="16"/>
    <n v="4"/>
    <n v="32"/>
    <n v="11"/>
    <n v="92.67"/>
    <n v="505.48"/>
  </r>
  <r>
    <x v="13"/>
    <n v="2"/>
    <s v="Jun 2026"/>
    <x v="83"/>
    <x v="0"/>
    <n v="18"/>
    <n v="144"/>
    <n v="14.64"/>
    <n v="158.63999999999999"/>
    <n v="12"/>
    <n v="96"/>
    <n v="7.18"/>
    <n v="103.18"/>
    <n v="12"/>
    <n v="96"/>
    <n v="3.61"/>
    <n v="99.61"/>
    <n v="42"/>
    <n v="336"/>
    <n v="361.43"/>
    <n v="25.430000000000007"/>
    <n v="5"/>
    <n v="40"/>
    <n v="2"/>
    <n v="16"/>
    <n v="2"/>
    <n v="16"/>
    <n v="8"/>
    <n v="72.5"/>
    <n v="505.93"/>
  </r>
  <r>
    <x v="13"/>
    <n v="3"/>
    <s v="Jun 2026"/>
    <x v="84"/>
    <x v="1"/>
    <n v="19"/>
    <n v="152"/>
    <n v="14.89"/>
    <n v="166.89"/>
    <n v="13"/>
    <n v="104"/>
    <n v="10.67"/>
    <n v="114.67"/>
    <n v="13"/>
    <n v="104"/>
    <n v="-0.2"/>
    <n v="103.8"/>
    <n v="45"/>
    <n v="360"/>
    <n v="385.36"/>
    <n v="25.360000000000014"/>
    <n v="7"/>
    <n v="56"/>
    <n v="2"/>
    <n v="16"/>
    <n v="0"/>
    <n v="0"/>
    <n v="9"/>
    <n v="86.5"/>
    <n v="543.86"/>
  </r>
  <r>
    <x v="13"/>
    <n v="4"/>
    <s v="Jun 2026"/>
    <x v="85"/>
    <x v="2"/>
    <n v="20"/>
    <n v="160"/>
    <n v="32.520000000000003"/>
    <n v="192.52"/>
    <n v="13"/>
    <n v="104"/>
    <n v="11.23"/>
    <n v="115.23"/>
    <n v="11"/>
    <n v="88"/>
    <n v="9.76"/>
    <n v="97.76"/>
    <n v="44"/>
    <n v="352"/>
    <n v="405.51"/>
    <n v="53.509999999999991"/>
    <n v="7"/>
    <n v="56"/>
    <n v="2"/>
    <n v="16"/>
    <n v="4"/>
    <n v="32"/>
    <n v="10"/>
    <n v="88"/>
    <n v="597.51"/>
  </r>
  <r>
    <x v="13"/>
    <n v="5"/>
    <s v="Jun 2026"/>
    <x v="86"/>
    <x v="3"/>
    <n v="19"/>
    <n v="152"/>
    <n v="27.15"/>
    <n v="179.15"/>
    <n v="13"/>
    <n v="104"/>
    <n v="26.77"/>
    <n v="130.77000000000001"/>
    <n v="16"/>
    <n v="128"/>
    <n v="29.78"/>
    <n v="157.78"/>
    <n v="48"/>
    <n v="384"/>
    <n v="467.69999999999993"/>
    <n v="83.699999999999932"/>
    <m/>
    <n v="0"/>
    <m/>
    <n v="0"/>
    <m/>
    <n v="0"/>
    <n v="16"/>
    <n v="144.5"/>
    <n v="612.19999999999993"/>
  </r>
  <r>
    <x v="13"/>
    <n v="6"/>
    <s v="Jun 2026"/>
    <x v="87"/>
    <x v="4"/>
    <n v="14"/>
    <n v="112"/>
    <n v="21.25"/>
    <n v="133.25"/>
    <m/>
    <n v="0"/>
    <m/>
    <n v="0"/>
    <m/>
    <n v="0"/>
    <m/>
    <n v="0"/>
    <n v="14"/>
    <n v="112"/>
    <n v="133.25"/>
    <n v="21.25"/>
    <m/>
    <n v="0"/>
    <m/>
    <n v="0"/>
    <m/>
    <n v="0"/>
    <n v="8"/>
    <n v="65"/>
    <n v="198.25"/>
  </r>
  <r>
    <x v="13"/>
    <n v="7"/>
    <s v="Jun 2026"/>
    <x v="88"/>
    <x v="5"/>
    <n v="18"/>
    <n v="144"/>
    <n v="8.23"/>
    <n v="152.22999999999999"/>
    <n v="12"/>
    <n v="96"/>
    <n v="25.65"/>
    <n v="121.65"/>
    <n v="15"/>
    <n v="120"/>
    <n v="32.020000000000003"/>
    <n v="152.02000000000001"/>
    <n v="45"/>
    <n v="360"/>
    <n v="425.9"/>
    <n v="65.899999999999977"/>
    <m/>
    <n v="0"/>
    <m/>
    <n v="0"/>
    <m/>
    <n v="0"/>
    <n v="15"/>
    <n v="131.75"/>
    <n v="557.65"/>
  </r>
  <r>
    <x v="14"/>
    <n v="1"/>
    <s v="Jun 2026"/>
    <x v="89"/>
    <x v="6"/>
    <n v="17"/>
    <n v="136"/>
    <n v="21.52"/>
    <n v="157.52000000000001"/>
    <n v="12"/>
    <n v="96"/>
    <n v="7.53"/>
    <n v="103.53"/>
    <n v="15"/>
    <n v="120"/>
    <n v="-0.05"/>
    <n v="119.95"/>
    <n v="44"/>
    <n v="352"/>
    <n v="381"/>
    <n v="29"/>
    <m/>
    <n v="0"/>
    <m/>
    <n v="0"/>
    <m/>
    <n v="0"/>
    <n v="13"/>
    <n v="111.5"/>
    <n v="492.5"/>
  </r>
  <r>
    <x v="14"/>
    <n v="2"/>
    <s v="Jun 2026"/>
    <x v="90"/>
    <x v="0"/>
    <n v="18"/>
    <n v="144"/>
    <n v="27.12"/>
    <n v="171.12"/>
    <n v="13"/>
    <n v="104"/>
    <n v="16.87"/>
    <n v="120.87"/>
    <n v="14"/>
    <n v="112"/>
    <n v="19.47"/>
    <n v="131.47"/>
    <n v="45"/>
    <n v="360"/>
    <n v="423.46000000000004"/>
    <n v="63.460000000000036"/>
    <m/>
    <n v="0"/>
    <m/>
    <n v="0"/>
    <m/>
    <n v="0"/>
    <n v="19"/>
    <n v="174.3"/>
    <n v="597.76"/>
  </r>
  <r>
    <x v="14"/>
    <n v="3"/>
    <s v="Jun 2026"/>
    <x v="91"/>
    <x v="1"/>
    <n v="18"/>
    <n v="144"/>
    <n v="14.63"/>
    <n v="158.63"/>
    <n v="13"/>
    <n v="104"/>
    <n v="8.4"/>
    <n v="112.4"/>
    <n v="15"/>
    <n v="120"/>
    <n v="14.08"/>
    <n v="134.08000000000001"/>
    <n v="46"/>
    <n v="368"/>
    <n v="405.10999999999996"/>
    <n v="37.109999999999957"/>
    <m/>
    <n v="0"/>
    <m/>
    <n v="0"/>
    <m/>
    <n v="0"/>
    <n v="16"/>
    <n v="135.80000000000001"/>
    <n v="540.91"/>
  </r>
  <r>
    <x v="14"/>
    <n v="4"/>
    <s v="Jun 2026"/>
    <x v="92"/>
    <x v="2"/>
    <n v="19"/>
    <n v="152"/>
    <n v="15.37"/>
    <n v="167.37"/>
    <n v="13"/>
    <n v="104"/>
    <n v="9.35"/>
    <n v="113.35"/>
    <n v="16"/>
    <n v="128"/>
    <n v="13.37"/>
    <n v="141.37"/>
    <n v="48"/>
    <n v="384"/>
    <n v="422.09000000000003"/>
    <n v="38.090000000000032"/>
    <m/>
    <n v="0"/>
    <m/>
    <n v="0"/>
    <m/>
    <n v="0"/>
    <n v="13"/>
    <n v="109.25"/>
    <n v="531.34"/>
  </r>
  <r>
    <x v="14"/>
    <n v="5"/>
    <s v="Jun 2026"/>
    <x v="93"/>
    <x v="3"/>
    <n v="18"/>
    <n v="144"/>
    <n v="6.37"/>
    <n v="150.37"/>
    <n v="12"/>
    <n v="96"/>
    <n v="24.32"/>
    <n v="120.32"/>
    <n v="16"/>
    <n v="128"/>
    <n v="31.73"/>
    <n v="159.72999999999999"/>
    <n v="46"/>
    <n v="368"/>
    <n v="430.42"/>
    <n v="62.420000000000016"/>
    <m/>
    <n v="0"/>
    <m/>
    <n v="0"/>
    <m/>
    <n v="0"/>
    <n v="22"/>
    <n v="201"/>
    <n v="631.42000000000007"/>
  </r>
  <r>
    <x v="14"/>
    <n v="6"/>
    <s v="Jun 2026"/>
    <x v="94"/>
    <x v="4"/>
    <n v="12"/>
    <n v="96"/>
    <n v="30.53"/>
    <n v="126.53"/>
    <m/>
    <n v="0"/>
    <m/>
    <n v="0"/>
    <m/>
    <n v="0"/>
    <m/>
    <n v="0"/>
    <n v="12"/>
    <n v="96"/>
    <n v="126.53"/>
    <n v="30.53"/>
    <m/>
    <n v="0"/>
    <m/>
    <n v="0"/>
    <m/>
    <n v="0"/>
    <n v="7"/>
    <n v="61"/>
    <n v="187.53"/>
  </r>
  <r>
    <x v="14"/>
    <n v="7"/>
    <s v="Jun 2026"/>
    <x v="95"/>
    <x v="5"/>
    <n v="15"/>
    <n v="120"/>
    <n v="6.83"/>
    <n v="126.83"/>
    <n v="12"/>
    <n v="96"/>
    <n v="24.52"/>
    <n v="120.52"/>
    <n v="15"/>
    <n v="120"/>
    <n v="41.22"/>
    <n v="161.22"/>
    <n v="42"/>
    <n v="336"/>
    <n v="408.57000000000005"/>
    <n v="72.57000000000005"/>
    <m/>
    <n v="0"/>
    <m/>
    <n v="0"/>
    <m/>
    <n v="0"/>
    <n v="23"/>
    <n v="220"/>
    <n v="628.57000000000005"/>
  </r>
  <r>
    <x v="15"/>
    <n v="1"/>
    <s v="Jun 2026"/>
    <x v="96"/>
    <x v="6"/>
    <n v="14"/>
    <n v="112"/>
    <n v="28.1"/>
    <n v="140.1"/>
    <n v="12"/>
    <n v="96"/>
    <n v="13.68"/>
    <n v="109.68"/>
    <n v="15"/>
    <n v="120"/>
    <n v="12.35"/>
    <n v="132.35"/>
    <n v="41"/>
    <n v="328"/>
    <n v="382.13"/>
    <n v="54.129999999999995"/>
    <m/>
    <n v="0"/>
    <m/>
    <n v="0"/>
    <m/>
    <n v="0"/>
    <n v="20"/>
    <n v="184.75"/>
    <n v="566.88"/>
  </r>
  <r>
    <x v="15"/>
    <n v="2"/>
    <s v="Jun 2026"/>
    <x v="97"/>
    <x v="0"/>
    <n v="17"/>
    <n v="136"/>
    <n v="38.17"/>
    <n v="174.17000000000002"/>
    <n v="13"/>
    <n v="104"/>
    <n v="14.03"/>
    <n v="118.03"/>
    <n v="13"/>
    <n v="104"/>
    <n v="19.03"/>
    <n v="123.03"/>
    <n v="43"/>
    <n v="344"/>
    <n v="415.23"/>
    <n v="71.230000000000018"/>
    <m/>
    <n v="0"/>
    <m/>
    <n v="0"/>
    <m/>
    <n v="0"/>
    <n v="16"/>
    <n v="153.75"/>
    <n v="568.98"/>
  </r>
  <r>
    <x v="15"/>
    <n v="3"/>
    <s v="Jun 2026"/>
    <x v="98"/>
    <x v="1"/>
    <n v="19"/>
    <n v="152"/>
    <n v="27.3"/>
    <n v="179.3"/>
    <n v="13"/>
    <n v="104"/>
    <n v="12.2"/>
    <n v="116.2"/>
    <n v="13"/>
    <n v="104"/>
    <n v="23.2"/>
    <n v="127.2"/>
    <n v="45"/>
    <n v="360"/>
    <n v="422.7"/>
    <n v="62.699999999999989"/>
    <m/>
    <n v="0"/>
    <m/>
    <n v="0"/>
    <m/>
    <n v="0"/>
    <n v="17"/>
    <n v="169.5"/>
    <n v="592.20000000000005"/>
  </r>
  <r>
    <x v="15"/>
    <n v="4"/>
    <s v="Jun 2026"/>
    <x v="99"/>
    <x v="2"/>
    <n v="20"/>
    <n v="160"/>
    <n v="21.7"/>
    <n v="181.7"/>
    <n v="14"/>
    <n v="112"/>
    <n v="10.85"/>
    <n v="122.85"/>
    <n v="14"/>
    <n v="112"/>
    <n v="9.6199999999999992"/>
    <n v="121.62"/>
    <n v="48"/>
    <n v="384"/>
    <n v="426.17"/>
    <n v="42.170000000000016"/>
    <m/>
    <n v="0"/>
    <m/>
    <n v="0"/>
    <m/>
    <n v="0"/>
    <n v="17"/>
    <n v="164.75"/>
    <n v="590.92000000000007"/>
  </r>
  <r>
    <x v="15"/>
    <n v="5"/>
    <s v="Jun 2026"/>
    <x v="100"/>
    <x v="3"/>
    <n v="20"/>
    <n v="160"/>
    <n v="12.1"/>
    <n v="172.1"/>
    <n v="13"/>
    <n v="104"/>
    <n v="31.15"/>
    <n v="135.15"/>
    <n v="13"/>
    <n v="104"/>
    <n v="20.5"/>
    <n v="124.5"/>
    <n v="46"/>
    <n v="368"/>
    <n v="431.75"/>
    <n v="63.75"/>
    <m/>
    <n v="0"/>
    <m/>
    <n v="0"/>
    <m/>
    <n v="0"/>
    <n v="23"/>
    <n v="216.9"/>
    <n v="648.65"/>
  </r>
  <r>
    <x v="15"/>
    <n v="6"/>
    <s v="Jun 2026"/>
    <x v="101"/>
    <x v="4"/>
    <n v="16"/>
    <n v="128"/>
    <n v="24.43"/>
    <n v="152.43"/>
    <m/>
    <n v="0"/>
    <m/>
    <n v="0"/>
    <m/>
    <n v="0"/>
    <m/>
    <n v="0"/>
    <n v="16"/>
    <n v="128"/>
    <n v="152.43"/>
    <n v="24.430000000000007"/>
    <m/>
    <n v="0"/>
    <m/>
    <n v="0"/>
    <m/>
    <n v="0"/>
    <n v="10"/>
    <n v="75"/>
    <n v="227.43"/>
  </r>
  <r>
    <x v="15"/>
    <n v="7"/>
    <s v="Jun 2026"/>
    <x v="102"/>
    <x v="5"/>
    <n v="16"/>
    <n v="128"/>
    <n v="9.1"/>
    <n v="137.1"/>
    <n v="12"/>
    <n v="96"/>
    <n v="22.4"/>
    <n v="118.4"/>
    <n v="14"/>
    <n v="112"/>
    <n v="23.27"/>
    <n v="135.27000000000001"/>
    <n v="42"/>
    <n v="336"/>
    <n v="390.77"/>
    <n v="54.769999999999982"/>
    <m/>
    <n v="0"/>
    <m/>
    <n v="0"/>
    <m/>
    <n v="0"/>
    <n v="29"/>
    <n v="279"/>
    <n v="669.77"/>
  </r>
  <r>
    <x v="16"/>
    <n v="1"/>
    <s v="Jun 2026"/>
    <x v="103"/>
    <x v="6"/>
    <n v="14"/>
    <n v="112"/>
    <n v="18"/>
    <n v="130"/>
    <n v="11"/>
    <n v="88"/>
    <n v="12.87"/>
    <n v="100.87"/>
    <n v="14"/>
    <n v="112"/>
    <n v="-21.35"/>
    <n v="90.65"/>
    <n v="39"/>
    <n v="312"/>
    <n v="321.52"/>
    <n v="9.5199999999999818"/>
    <m/>
    <n v="0"/>
    <m/>
    <n v="0"/>
    <m/>
    <n v="0"/>
    <n v="25"/>
    <n v="212.6"/>
    <n v="534.12"/>
  </r>
  <r>
    <x v="16"/>
    <n v="2"/>
    <s v="Jun 2026"/>
    <x v="104"/>
    <x v="0"/>
    <n v="17"/>
    <n v="136"/>
    <n v="26.08"/>
    <n v="162.07999999999998"/>
    <n v="12"/>
    <n v="96"/>
    <n v="13.88"/>
    <n v="109.88"/>
    <n v="15"/>
    <n v="120"/>
    <n v="-4.87"/>
    <n v="115.13"/>
    <n v="44"/>
    <n v="352"/>
    <n v="387.09"/>
    <n v="35.089999999999975"/>
    <m/>
    <n v="0"/>
    <m/>
    <n v="0"/>
    <m/>
    <n v="0"/>
    <n v="24"/>
    <n v="212.5"/>
    <n v="599.58999999999992"/>
  </r>
  <r>
    <x v="16"/>
    <n v="3"/>
    <s v="Jun 2026"/>
    <x v="105"/>
    <x v="1"/>
    <n v="16"/>
    <n v="128"/>
    <n v="13.9"/>
    <n v="141.9"/>
    <n v="13"/>
    <n v="104"/>
    <n v="8.1300000000000008"/>
    <n v="112.13"/>
    <n v="13"/>
    <n v="104"/>
    <n v="0.9"/>
    <n v="104.9"/>
    <n v="42"/>
    <n v="336"/>
    <n v="358.92999999999995"/>
    <n v="22.92999999999995"/>
    <m/>
    <n v="0"/>
    <m/>
    <n v="0"/>
    <m/>
    <n v="0"/>
    <n v="19"/>
    <n v="164.6"/>
    <n v="523.53"/>
  </r>
  <r>
    <x v="16"/>
    <n v="4"/>
    <s v="Jul 2026"/>
    <x v="106"/>
    <x v="2"/>
    <n v="17"/>
    <n v="136"/>
    <n v="13.5"/>
    <n v="149.5"/>
    <n v="12"/>
    <n v="96"/>
    <n v="5.2"/>
    <n v="101.2"/>
    <n v="14"/>
    <n v="112"/>
    <n v="7.72"/>
    <n v="119.72"/>
    <n v="43"/>
    <n v="344"/>
    <n v="370.42"/>
    <n v="26.420000000000016"/>
    <m/>
    <n v="0"/>
    <m/>
    <n v="0"/>
    <m/>
    <n v="0"/>
    <n v="22"/>
    <n v="179.75"/>
    <n v="550.17000000000007"/>
  </r>
  <r>
    <x v="16"/>
    <n v="5"/>
    <s v="Jul 2026"/>
    <x v="107"/>
    <x v="3"/>
    <n v="20"/>
    <n v="160"/>
    <n v="25.38"/>
    <n v="185.38"/>
    <n v="12"/>
    <n v="96"/>
    <n v="20.12"/>
    <n v="116.12"/>
    <n v="14"/>
    <n v="112"/>
    <n v="23.75"/>
    <n v="135.75"/>
    <n v="46"/>
    <n v="368"/>
    <n v="437.25"/>
    <n v="69.25"/>
    <m/>
    <n v="0"/>
    <m/>
    <n v="0"/>
    <m/>
    <n v="0"/>
    <n v="26"/>
    <n v="203.75"/>
    <n v="641"/>
  </r>
  <r>
    <x v="16"/>
    <n v="6"/>
    <s v="Jul 2026"/>
    <x v="108"/>
    <x v="4"/>
    <n v="15"/>
    <n v="120"/>
    <n v="20.58"/>
    <n v="140.57999999999998"/>
    <m/>
    <n v="0"/>
    <m/>
    <n v="0"/>
    <m/>
    <n v="0"/>
    <m/>
    <n v="0"/>
    <n v="15"/>
    <n v="120"/>
    <n v="140.57999999999998"/>
    <n v="20.579999999999984"/>
    <m/>
    <n v="0"/>
    <m/>
    <n v="0"/>
    <m/>
    <n v="0"/>
    <n v="9"/>
    <n v="75.25"/>
    <n v="215.82999999999998"/>
  </r>
  <r>
    <x v="16"/>
    <n v="7"/>
    <s v="Jul 2026"/>
    <x v="109"/>
    <x v="5"/>
    <n v="15"/>
    <n v="120"/>
    <n v="10.15"/>
    <n v="130.15"/>
    <n v="12"/>
    <n v="96"/>
    <n v="24.3"/>
    <n v="120.3"/>
    <n v="14"/>
    <n v="112"/>
    <n v="26.88"/>
    <n v="138.88"/>
    <n v="41"/>
    <n v="328"/>
    <n v="389.33000000000004"/>
    <n v="61.330000000000041"/>
    <m/>
    <n v="0"/>
    <m/>
    <n v="0"/>
    <m/>
    <n v="0"/>
    <n v="27"/>
    <n v="251"/>
    <n v="640.33000000000004"/>
  </r>
  <r>
    <x v="17"/>
    <n v="1"/>
    <s v="Jul 2026"/>
    <x v="110"/>
    <x v="6"/>
    <n v="17"/>
    <n v="136"/>
    <n v="21.18"/>
    <n v="157.18"/>
    <n v="12"/>
    <n v="96"/>
    <n v="10.77"/>
    <n v="106.77"/>
    <n v="11"/>
    <n v="88"/>
    <n v="8"/>
    <n v="96"/>
    <n v="40"/>
    <n v="320"/>
    <n v="359.95"/>
    <n v="39.949999999999989"/>
    <m/>
    <n v="0"/>
    <m/>
    <n v="0"/>
    <m/>
    <n v="0"/>
    <n v="22"/>
    <n v="188.6"/>
    <n v="548.54999999999995"/>
  </r>
  <r>
    <x v="17"/>
    <n v="2"/>
    <s v="Jul 2026"/>
    <x v="111"/>
    <x v="0"/>
    <n v="19"/>
    <n v="152"/>
    <n v="18.22"/>
    <n v="170.22"/>
    <n v="11"/>
    <n v="88"/>
    <n v="13.08"/>
    <n v="101.08"/>
    <n v="15"/>
    <n v="120"/>
    <n v="-6.47"/>
    <n v="113.53"/>
    <n v="45"/>
    <n v="360"/>
    <n v="384.83"/>
    <n v="24.829999999999984"/>
    <m/>
    <n v="0"/>
    <m/>
    <n v="0"/>
    <m/>
    <n v="0"/>
    <n v="17"/>
    <n v="150"/>
    <n v="534.82999999999993"/>
  </r>
  <r>
    <x v="17"/>
    <n v="3"/>
    <s v="Jul 2026"/>
    <x v="112"/>
    <x v="1"/>
    <n v="18"/>
    <n v="144"/>
    <n v="7"/>
    <n v="151"/>
    <n v="13"/>
    <n v="104"/>
    <n v="8.58"/>
    <n v="112.58"/>
    <n v="15"/>
    <n v="120"/>
    <n v="-3.8"/>
    <n v="116.2"/>
    <n v="46"/>
    <n v="368"/>
    <n v="379.78"/>
    <n v="11.779999999999973"/>
    <m/>
    <n v="0"/>
    <m/>
    <n v="0"/>
    <m/>
    <n v="0"/>
    <n v="20"/>
    <n v="162.5"/>
    <n v="542.28"/>
  </r>
  <r>
    <x v="17"/>
    <n v="4"/>
    <s v="Jul 2026"/>
    <x v="113"/>
    <x v="2"/>
    <n v="19"/>
    <n v="152"/>
    <n v="14"/>
    <n v="166"/>
    <n v="12"/>
    <n v="96"/>
    <n v="10.199999999999999"/>
    <n v="106.2"/>
    <n v="15"/>
    <n v="120"/>
    <n v="6.78"/>
    <n v="126.78"/>
    <n v="46"/>
    <n v="368"/>
    <n v="398.97999999999996"/>
    <n v="30.979999999999961"/>
    <m/>
    <n v="0"/>
    <m/>
    <n v="0"/>
    <m/>
    <n v="0"/>
    <n v="16"/>
    <n v="140.6"/>
    <n v="539.57999999999993"/>
  </r>
  <r>
    <x v="17"/>
    <n v="5"/>
    <s v="Jul 2026"/>
    <x v="114"/>
    <x v="3"/>
    <n v="18"/>
    <n v="144"/>
    <n v="15.67"/>
    <n v="159.66999999999999"/>
    <n v="11"/>
    <n v="88"/>
    <n v="14.87"/>
    <n v="102.87"/>
    <n v="16"/>
    <n v="128"/>
    <n v="14.75"/>
    <n v="142.75"/>
    <n v="45"/>
    <n v="360"/>
    <n v="405.28999999999996"/>
    <n v="45.289999999999964"/>
    <m/>
    <n v="0"/>
    <m/>
    <n v="0"/>
    <m/>
    <n v="0"/>
    <n v="27"/>
    <n v="258.75"/>
    <n v="664.04"/>
  </r>
  <r>
    <x v="17"/>
    <n v="6"/>
    <s v="Jul 2026"/>
    <x v="115"/>
    <x v="4"/>
    <n v="14"/>
    <n v="112"/>
    <n v="12.4"/>
    <n v="124.4"/>
    <m/>
    <n v="0"/>
    <m/>
    <n v="0"/>
    <m/>
    <n v="0"/>
    <m/>
    <n v="0"/>
    <n v="14"/>
    <n v="112"/>
    <n v="124.4"/>
    <n v="12.400000000000006"/>
    <m/>
    <n v="0"/>
    <m/>
    <n v="0"/>
    <m/>
    <n v="0"/>
    <n v="10"/>
    <n v="70.849999999999994"/>
    <n v="195.25"/>
  </r>
  <r>
    <x v="17"/>
    <n v="7"/>
    <s v="Jul 2026"/>
    <x v="116"/>
    <x v="5"/>
    <n v="16"/>
    <n v="128"/>
    <n v="16.97"/>
    <n v="144.97"/>
    <n v="10"/>
    <n v="80"/>
    <n v="19.579999999999998"/>
    <n v="99.58"/>
    <n v="14"/>
    <n v="112"/>
    <n v="32.75"/>
    <n v="144.75"/>
    <n v="40"/>
    <n v="320"/>
    <n v="389.3"/>
    <n v="69.300000000000011"/>
    <m/>
    <n v="0"/>
    <m/>
    <n v="0"/>
    <m/>
    <n v="0"/>
    <n v="30"/>
    <n v="282.25"/>
    <n v="671.55"/>
  </r>
  <r>
    <x v="18"/>
    <n v="1"/>
    <s v="Jul 2026"/>
    <x v="117"/>
    <x v="6"/>
    <n v="15"/>
    <n v="120"/>
    <n v="20.98"/>
    <n v="140.97999999999999"/>
    <n v="11"/>
    <n v="88"/>
    <n v="2.92"/>
    <n v="90.92"/>
    <n v="12"/>
    <n v="96"/>
    <n v="17.350000000000001"/>
    <n v="113.35"/>
    <n v="38"/>
    <n v="304"/>
    <n v="345.25"/>
    <n v="41.25"/>
    <m/>
    <n v="0"/>
    <m/>
    <n v="0"/>
    <m/>
    <n v="0"/>
    <m/>
    <m/>
    <n v="345.25"/>
  </r>
  <r>
    <x v="18"/>
    <n v="2"/>
    <s v="Jul 2026"/>
    <x v="118"/>
    <x v="0"/>
    <n v="16"/>
    <n v="128"/>
    <n v="17.72"/>
    <n v="145.72"/>
    <n v="14"/>
    <n v="112"/>
    <n v="4.7"/>
    <n v="116.7"/>
    <n v="13"/>
    <n v="104"/>
    <n v="14.38"/>
    <n v="118.38"/>
    <n v="43"/>
    <n v="344"/>
    <n v="380.8"/>
    <n v="36.800000000000011"/>
    <m/>
    <n v="0"/>
    <m/>
    <n v="0"/>
    <m/>
    <n v="0"/>
    <n v="29"/>
    <n v="267"/>
    <n v="647.79999999999995"/>
  </r>
  <r>
    <x v="18"/>
    <n v="3"/>
    <s v="Jul 2026"/>
    <x v="119"/>
    <x v="1"/>
    <n v="17"/>
    <n v="136"/>
    <n v="23.72"/>
    <n v="159.72"/>
    <n v="12"/>
    <n v="96"/>
    <n v="5.68"/>
    <n v="101.68"/>
    <n v="13"/>
    <n v="104"/>
    <n v="6.55"/>
    <n v="110.55"/>
    <n v="42"/>
    <n v="336"/>
    <n v="371.95"/>
    <n v="35.949999999999989"/>
    <m/>
    <n v="0"/>
    <m/>
    <n v="0"/>
    <m/>
    <n v="0"/>
    <n v="23"/>
    <n v="193.4"/>
    <n v="565.35"/>
  </r>
  <r>
    <x v="18"/>
    <n v="4"/>
    <s v="Jul 2026"/>
    <x v="120"/>
    <x v="2"/>
    <n v="19"/>
    <n v="152"/>
    <n v="10.58"/>
    <n v="162.58000000000001"/>
    <n v="12"/>
    <n v="96"/>
    <n v="9.77"/>
    <n v="105.77"/>
    <n v="12"/>
    <n v="96"/>
    <n v="11.2"/>
    <n v="107.2"/>
    <n v="43"/>
    <n v="344"/>
    <n v="375.55"/>
    <n v="31.550000000000011"/>
    <m/>
    <n v="0"/>
    <m/>
    <n v="0"/>
    <m/>
    <n v="0"/>
    <n v="21"/>
    <n v="178.55"/>
    <n v="554.1"/>
  </r>
  <r>
    <x v="18"/>
    <n v="5"/>
    <s v="Jul 2026"/>
    <x v="121"/>
    <x v="3"/>
    <n v="18"/>
    <n v="144"/>
    <n v="7.37"/>
    <n v="151.37"/>
    <n v="14"/>
    <n v="112"/>
    <n v="21.52"/>
    <n v="133.52000000000001"/>
    <n v="14"/>
    <n v="112"/>
    <n v="24.2"/>
    <n v="136.19999999999999"/>
    <n v="46"/>
    <n v="368"/>
    <n v="421.09"/>
    <n v="53.089999999999975"/>
    <m/>
    <n v="0"/>
    <m/>
    <n v="0"/>
    <m/>
    <n v="0"/>
    <n v="23"/>
    <n v="230.85"/>
    <n v="651.93999999999994"/>
  </r>
  <r>
    <x v="18"/>
    <n v="6"/>
    <s v="Jul 2026"/>
    <x v="122"/>
    <x v="4"/>
    <n v="14"/>
    <n v="112"/>
    <n v="20.37"/>
    <n v="132.37"/>
    <m/>
    <n v="0"/>
    <m/>
    <n v="0"/>
    <m/>
    <n v="0"/>
    <m/>
    <n v="0"/>
    <n v="14"/>
    <n v="112"/>
    <n v="132.37"/>
    <n v="20.370000000000005"/>
    <m/>
    <n v="0"/>
    <m/>
    <n v="0"/>
    <m/>
    <n v="0"/>
    <n v="8"/>
    <n v="61"/>
    <n v="193.37"/>
  </r>
  <r>
    <x v="18"/>
    <n v="7"/>
    <s v="Jul 2026"/>
    <x v="123"/>
    <x v="5"/>
    <n v="14"/>
    <n v="112"/>
    <n v="13.62"/>
    <n v="125.62"/>
    <n v="12"/>
    <n v="96"/>
    <n v="13.78"/>
    <n v="109.78"/>
    <n v="13"/>
    <n v="104"/>
    <n v="20.03"/>
    <n v="124.03"/>
    <n v="39"/>
    <n v="312"/>
    <n v="359.42999999999995"/>
    <n v="47.42999999999995"/>
    <m/>
    <n v="0"/>
    <m/>
    <n v="0"/>
    <m/>
    <n v="0"/>
    <n v="30"/>
    <n v="262.3"/>
    <n v="621.73"/>
  </r>
  <r>
    <x v="19"/>
    <n v="1"/>
    <s v="Jul 2026"/>
    <x v="124"/>
    <x v="6"/>
    <n v="15"/>
    <n v="120"/>
    <n v="9.9499999999999993"/>
    <n v="129.94999999999999"/>
    <n v="12"/>
    <n v="96"/>
    <n v="6.8"/>
    <n v="102.8"/>
    <n v="12"/>
    <n v="96"/>
    <n v="-2.33"/>
    <n v="93.67"/>
    <n v="39"/>
    <n v="312"/>
    <n v="326.42"/>
    <n v="14.420000000000016"/>
    <m/>
    <n v="0"/>
    <m/>
    <n v="0"/>
    <m/>
    <n v="0"/>
    <n v="25"/>
    <n v="195.25"/>
    <n v="521.67000000000007"/>
  </r>
  <r>
    <x v="19"/>
    <n v="2"/>
    <s v="Jul 2026"/>
    <x v="125"/>
    <x v="0"/>
    <n v="13"/>
    <n v="104"/>
    <n v="20.92"/>
    <n v="124.92"/>
    <n v="13"/>
    <n v="104"/>
    <n v="7.38"/>
    <n v="111.38"/>
    <n v="13"/>
    <n v="104"/>
    <n v="-8.67"/>
    <n v="95.33"/>
    <n v="39"/>
    <n v="312"/>
    <n v="331.63"/>
    <n v="19.629999999999995"/>
    <m/>
    <n v="0"/>
    <m/>
    <n v="0"/>
    <m/>
    <n v="0"/>
    <n v="27"/>
    <n v="225"/>
    <n v="556.63"/>
  </r>
  <r>
    <x v="19"/>
    <n v="3"/>
    <s v="Jul 2026"/>
    <x v="126"/>
    <x v="1"/>
    <n v="14"/>
    <n v="112"/>
    <n v="20.6"/>
    <n v="132.6"/>
    <n v="13"/>
    <n v="104"/>
    <n v="9.8699999999999992"/>
    <n v="113.87"/>
    <n v="13"/>
    <n v="104"/>
    <n v="0.33"/>
    <n v="104.33"/>
    <n v="40"/>
    <n v="320"/>
    <n v="350.8"/>
    <n v="30.800000000000011"/>
    <m/>
    <n v="0"/>
    <m/>
    <n v="0"/>
    <m/>
    <n v="0"/>
    <n v="22"/>
    <n v="177.75"/>
    <n v="528.54999999999995"/>
  </r>
  <r>
    <x v="19"/>
    <n v="4"/>
    <s v="Jul 2026"/>
    <x v="127"/>
    <x v="2"/>
    <n v="17"/>
    <n v="136"/>
    <n v="13.98"/>
    <n v="149.97999999999999"/>
    <n v="12"/>
    <n v="96"/>
    <n v="5.0199999999999996"/>
    <n v="101.02"/>
    <n v="13"/>
    <n v="104"/>
    <n v="0.3"/>
    <n v="104.3"/>
    <n v="42"/>
    <n v="336"/>
    <n v="355.3"/>
    <n v="19.300000000000011"/>
    <m/>
    <n v="0"/>
    <m/>
    <n v="0"/>
    <m/>
    <n v="0"/>
    <n v="22"/>
    <n v="169"/>
    <n v="524.29999999999995"/>
  </r>
  <r>
    <x v="19"/>
    <n v="5"/>
    <s v="Jul 2026"/>
    <x v="128"/>
    <x v="3"/>
    <n v="16"/>
    <n v="128"/>
    <n v="14.37"/>
    <n v="142.37"/>
    <n v="12"/>
    <n v="96"/>
    <n v="18.399999999999999"/>
    <n v="114.4"/>
    <n v="15"/>
    <n v="120"/>
    <n v="14.45"/>
    <n v="134.44999999999999"/>
    <n v="43"/>
    <n v="344"/>
    <n v="391.21999999999997"/>
    <n v="47.21999999999997"/>
    <m/>
    <n v="0"/>
    <m/>
    <n v="0"/>
    <m/>
    <n v="0"/>
    <n v="24"/>
    <n v="209.75"/>
    <n v="600.97"/>
  </r>
  <r>
    <x v="19"/>
    <n v="6"/>
    <s v="Jul 2026"/>
    <x v="129"/>
    <x v="4"/>
    <n v="14"/>
    <n v="112"/>
    <n v="6.83"/>
    <n v="118.83"/>
    <m/>
    <n v="0"/>
    <m/>
    <n v="0"/>
    <m/>
    <n v="0"/>
    <m/>
    <n v="0"/>
    <n v="14"/>
    <n v="112"/>
    <n v="118.83"/>
    <n v="6.8299999999999983"/>
    <m/>
    <n v="0"/>
    <m/>
    <n v="0"/>
    <m/>
    <n v="0"/>
    <n v="8"/>
    <n v="50.5"/>
    <n v="169.32999999999998"/>
  </r>
  <r>
    <x v="19"/>
    <n v="7"/>
    <s v="Jul 2026"/>
    <x v="130"/>
    <x v="5"/>
    <n v="15"/>
    <n v="120"/>
    <n v="4.05"/>
    <n v="124.05"/>
    <n v="12"/>
    <n v="96"/>
    <n v="13.37"/>
    <n v="109.37"/>
    <n v="13"/>
    <n v="104"/>
    <n v="9.17"/>
    <n v="113.17"/>
    <n v="40"/>
    <n v="320"/>
    <n v="346.59"/>
    <n v="26.59"/>
    <m/>
    <n v="0"/>
    <m/>
    <n v="0"/>
    <m/>
    <n v="0"/>
    <n v="32"/>
    <n v="260.3"/>
    <n v="606.89"/>
  </r>
  <r>
    <x v="20"/>
    <n v="1"/>
    <s v="Jul 2026"/>
    <x v="131"/>
    <x v="6"/>
    <n v="16"/>
    <n v="128"/>
    <n v="12.32"/>
    <n v="140.32"/>
    <n v="12"/>
    <n v="96"/>
    <n v="5.87"/>
    <n v="101.87"/>
    <n v="13"/>
    <n v="104"/>
    <n v="-8.75"/>
    <n v="95.25"/>
    <n v="41"/>
    <n v="328"/>
    <n v="337.44"/>
    <n v="9.44"/>
    <m/>
    <n v="0"/>
    <m/>
    <n v="0"/>
    <m/>
    <n v="0"/>
    <n v="24"/>
    <n v="190.5"/>
    <n v="527.94000000000005"/>
  </r>
  <r>
    <x v="20"/>
    <n v="2"/>
    <s v="Jul 2026"/>
    <x v="132"/>
    <x v="0"/>
    <n v="16"/>
    <n v="128"/>
    <n v="20.079999999999998"/>
    <n v="148.08000000000001"/>
    <n v="13"/>
    <n v="104"/>
    <n v="7.45"/>
    <n v="111.45"/>
    <n v="12"/>
    <n v="96"/>
    <n v="-6"/>
    <n v="90"/>
    <n v="41"/>
    <n v="328"/>
    <n v="349.53"/>
    <n v="21.53"/>
    <m/>
    <n v="0"/>
    <m/>
    <n v="0"/>
    <m/>
    <n v="0"/>
    <n v="22"/>
    <n v="161.5"/>
    <n v="511.03"/>
  </r>
  <r>
    <x v="20"/>
    <n v="3"/>
    <s v="Jul 2026"/>
    <x v="133"/>
    <x v="1"/>
    <n v="16"/>
    <n v="128"/>
    <n v="5.7"/>
    <n v="133.69999999999999"/>
    <n v="14"/>
    <n v="112"/>
    <n v="5.12"/>
    <n v="117.12"/>
    <n v="13"/>
    <n v="104"/>
    <n v="-6.6"/>
    <n v="97.4"/>
    <n v="43"/>
    <n v="344"/>
    <n v="348.22"/>
    <n v="4.2200000000000299"/>
    <m/>
    <n v="0"/>
    <m/>
    <n v="0"/>
    <m/>
    <n v="0"/>
    <n v="21"/>
    <n v="149.5"/>
    <n v="497.72"/>
  </r>
  <r>
    <x v="20"/>
    <n v="4"/>
    <s v="Jul 2026"/>
    <x v="134"/>
    <x v="2"/>
    <n v="19"/>
    <n v="152"/>
    <n v="11.02"/>
    <n v="163.02000000000001"/>
    <n v="14"/>
    <n v="112"/>
    <n v="0.82"/>
    <n v="112.82"/>
    <n v="12"/>
    <n v="96"/>
    <n v="-2.4300000000000002"/>
    <n v="93.57"/>
    <n v="45"/>
    <n v="360"/>
    <n v="369.41"/>
    <n v="9.4100000000000303"/>
    <m/>
    <n v="0"/>
    <m/>
    <n v="0"/>
    <m/>
    <n v="0"/>
    <n v="18"/>
    <n v="131.5"/>
    <n v="500.91"/>
  </r>
  <r>
    <x v="20"/>
    <n v="5"/>
    <s v="Jul 2026"/>
    <x v="135"/>
    <x v="3"/>
    <n v="16"/>
    <n v="128"/>
    <n v="9.8699999999999992"/>
    <n v="137.87"/>
    <n v="14"/>
    <n v="112"/>
    <n v="23.48"/>
    <n v="135.47999999999999"/>
    <n v="12"/>
    <n v="96"/>
    <n v="20.78"/>
    <n v="116.78"/>
    <n v="42"/>
    <n v="336"/>
    <n v="390.13"/>
    <n v="54.13"/>
    <m/>
    <n v="0"/>
    <m/>
    <n v="0"/>
    <m/>
    <n v="0"/>
    <n v="25"/>
    <n v="216.5"/>
    <n v="606.63"/>
  </r>
  <r>
    <x v="20"/>
    <n v="6"/>
    <s v="Jul 2026"/>
    <x v="136"/>
    <x v="4"/>
    <n v="15"/>
    <n v="120"/>
    <n v="1.8"/>
    <n v="121.8"/>
    <m/>
    <n v="0"/>
    <m/>
    <n v="0"/>
    <m/>
    <n v="0"/>
    <m/>
    <n v="0"/>
    <n v="15"/>
    <n v="120"/>
    <n v="121.8"/>
    <n v="1.8"/>
    <m/>
    <n v="0"/>
    <m/>
    <n v="0"/>
    <m/>
    <n v="0"/>
    <n v="9"/>
    <n v="62.25"/>
    <n v="184.05"/>
  </r>
  <r>
    <x v="20"/>
    <n v="7"/>
    <s v="Aug 2026"/>
    <x v="137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1"/>
    <n v="1"/>
    <s v="Aug 2026"/>
    <x v="138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1"/>
    <n v="2"/>
    <s v="Aug 2026"/>
    <x v="139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1"/>
    <n v="3"/>
    <s v="Aug 2026"/>
    <x v="140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1"/>
    <n v="4"/>
    <s v="Aug 2026"/>
    <x v="141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1"/>
    <n v="5"/>
    <s v="Aug 2026"/>
    <x v="142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1"/>
    <n v="6"/>
    <s v="Aug 2026"/>
    <x v="143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1"/>
    <n v="7"/>
    <s v="Aug 2026"/>
    <x v="144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2"/>
    <n v="1"/>
    <s v="Aug 2026"/>
    <x v="145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2"/>
    <n v="2"/>
    <s v="Aug 2026"/>
    <x v="146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2"/>
    <n v="3"/>
    <s v="Aug 2026"/>
    <x v="147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2"/>
    <n v="4"/>
    <s v="Aug 2026"/>
    <x v="148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2"/>
    <n v="5"/>
    <s v="Aug 2026"/>
    <x v="149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2"/>
    <n v="6"/>
    <s v="Aug 2026"/>
    <x v="150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2"/>
    <n v="7"/>
    <s v="Aug 2026"/>
    <x v="151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3"/>
    <n v="1"/>
    <s v="Aug 2026"/>
    <x v="152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3"/>
    <n v="2"/>
    <s v="Aug 2026"/>
    <x v="153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3"/>
    <n v="3"/>
    <s v="Aug 2026"/>
    <x v="154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3"/>
    <n v="4"/>
    <s v="Aug 2026"/>
    <x v="155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3"/>
    <n v="5"/>
    <s v="Aug 2026"/>
    <x v="156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3"/>
    <n v="6"/>
    <s v="Aug 2026"/>
    <x v="157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3"/>
    <n v="7"/>
    <s v="Aug 2026"/>
    <x v="158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4"/>
    <n v="1"/>
    <s v="Aug 2026"/>
    <x v="159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4"/>
    <n v="2"/>
    <s v="Aug 2026"/>
    <x v="160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4"/>
    <n v="3"/>
    <s v="Aug 2026"/>
    <x v="161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4"/>
    <n v="4"/>
    <s v="Aug 2026"/>
    <x v="162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4"/>
    <n v="5"/>
    <s v="Aug 2026"/>
    <x v="163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4"/>
    <n v="6"/>
    <s v="Aug 2026"/>
    <x v="164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4"/>
    <n v="7"/>
    <s v="Aug 2026"/>
    <x v="165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5"/>
    <n v="1"/>
    <s v="Aug 2026"/>
    <x v="166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5"/>
    <n v="2"/>
    <s v="Aug 2026"/>
    <x v="167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5"/>
    <n v="3"/>
    <s v="Sep 2026"/>
    <x v="168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5"/>
    <n v="4"/>
    <s v="Sep 2026"/>
    <x v="169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5"/>
    <n v="5"/>
    <s v="Sep 2026"/>
    <x v="170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5"/>
    <n v="6"/>
    <s v="Sep 2026"/>
    <x v="171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5"/>
    <n v="7"/>
    <s v="Sep 2026"/>
    <x v="172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6"/>
    <n v="1"/>
    <s v="Sep 2026"/>
    <x v="173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6"/>
    <n v="2"/>
    <s v="Sep 2026"/>
    <x v="174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6"/>
    <n v="3"/>
    <s v="Sep 2026"/>
    <x v="175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6"/>
    <n v="4"/>
    <s v="Sep 2026"/>
    <x v="176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6"/>
    <n v="5"/>
    <s v="Sep 2026"/>
    <x v="177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6"/>
    <n v="6"/>
    <s v="Sep 2026"/>
    <x v="178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6"/>
    <n v="7"/>
    <s v="Sep 2026"/>
    <x v="179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7"/>
    <n v="1"/>
    <s v="Sep 2026"/>
    <x v="180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7"/>
    <n v="2"/>
    <s v="Sep 2026"/>
    <x v="181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7"/>
    <n v="3"/>
    <s v="Sep 2026"/>
    <x v="182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7"/>
    <n v="4"/>
    <s v="Sep 2026"/>
    <x v="183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7"/>
    <n v="5"/>
    <s v="Sep 2026"/>
    <x v="184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7"/>
    <n v="6"/>
    <s v="Sep 2026"/>
    <x v="185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7"/>
    <n v="7"/>
    <s v="Sep 2026"/>
    <x v="186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8"/>
    <n v="1"/>
    <s v="Sep 2026"/>
    <x v="187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8"/>
    <n v="2"/>
    <s v="Sep 2026"/>
    <x v="188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8"/>
    <n v="3"/>
    <s v="Sep 2026"/>
    <x v="189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8"/>
    <n v="4"/>
    <s v="Sep 2026"/>
    <x v="190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8"/>
    <n v="5"/>
    <s v="Sep 2026"/>
    <x v="191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8"/>
    <n v="6"/>
    <s v="Sep 2026"/>
    <x v="192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8"/>
    <n v="7"/>
    <s v="Sep 2026"/>
    <x v="193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9"/>
    <n v="1"/>
    <s v="Sep 2026"/>
    <x v="194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9"/>
    <n v="2"/>
    <s v="Sep 2026"/>
    <x v="195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9"/>
    <n v="3"/>
    <s v="Sep 2026"/>
    <x v="196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9"/>
    <n v="4"/>
    <s v="Sep 2026"/>
    <x v="197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9"/>
    <n v="5"/>
    <s v="Oct 2026"/>
    <x v="198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9"/>
    <n v="6"/>
    <s v="Oct 2026"/>
    <x v="199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29"/>
    <n v="7"/>
    <s v="Oct 2026"/>
    <x v="200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0"/>
    <n v="1"/>
    <s v="Oct 2026"/>
    <x v="201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0"/>
    <n v="2"/>
    <s v="Oct 2026"/>
    <x v="202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0"/>
    <n v="3"/>
    <s v="Oct 2026"/>
    <x v="203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0"/>
    <n v="4"/>
    <s v="Oct 2026"/>
    <x v="204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0"/>
    <n v="5"/>
    <s v="Oct 2026"/>
    <x v="205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0"/>
    <n v="6"/>
    <s v="Oct 2026"/>
    <x v="206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0"/>
    <n v="7"/>
    <s v="Oct 2026"/>
    <x v="207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1"/>
    <n v="1"/>
    <s v="Oct 2026"/>
    <x v="208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1"/>
    <n v="2"/>
    <s v="Oct 2026"/>
    <x v="209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1"/>
    <n v="3"/>
    <s v="Oct 2026"/>
    <x v="210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1"/>
    <n v="4"/>
    <s v="Oct 2026"/>
    <x v="211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1"/>
    <n v="5"/>
    <s v="Oct 2026"/>
    <x v="212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1"/>
    <n v="6"/>
    <s v="Oct 2026"/>
    <x v="213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1"/>
    <n v="7"/>
    <s v="Oct 2026"/>
    <x v="214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2"/>
    <n v="1"/>
    <s v="Oct 2026"/>
    <x v="215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2"/>
    <n v="2"/>
    <s v="Oct 2026"/>
    <x v="216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2"/>
    <n v="3"/>
    <s v="Oct 2026"/>
    <x v="217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2"/>
    <n v="4"/>
    <s v="Oct 2026"/>
    <x v="218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2"/>
    <n v="5"/>
    <s v="Oct 2026"/>
    <x v="219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2"/>
    <n v="6"/>
    <s v="Oct 2026"/>
    <x v="220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2"/>
    <n v="7"/>
    <s v="Oct 2026"/>
    <x v="221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3"/>
    <n v="1"/>
    <s v="Oct 2026"/>
    <x v="222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3"/>
    <n v="2"/>
    <s v="Oct 2026"/>
    <x v="223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3"/>
    <n v="3"/>
    <s v="Oct 2026"/>
    <x v="224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3"/>
    <n v="4"/>
    <s v="Oct 2026"/>
    <x v="225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3"/>
    <n v="5"/>
    <s v="Oct 2026"/>
    <x v="226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3"/>
    <n v="6"/>
    <s v="Oct 2026"/>
    <x v="227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3"/>
    <n v="7"/>
    <s v="Oct 2026"/>
    <x v="228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4"/>
    <n v="1"/>
    <s v="Nov 2026"/>
    <x v="229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4"/>
    <n v="2"/>
    <s v="Nov 2026"/>
    <x v="230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4"/>
    <n v="3"/>
    <s v="Nov 2026"/>
    <x v="231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4"/>
    <n v="4"/>
    <s v="Nov 2026"/>
    <x v="232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4"/>
    <n v="5"/>
    <s v="Nov 2026"/>
    <x v="233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4"/>
    <n v="6"/>
    <s v="Nov 2026"/>
    <x v="234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4"/>
    <n v="7"/>
    <s v="Nov 2026"/>
    <x v="235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5"/>
    <n v="1"/>
    <s v="Nov 2026"/>
    <x v="236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5"/>
    <n v="2"/>
    <s v="Nov 2026"/>
    <x v="237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5"/>
    <n v="3"/>
    <s v="Nov 2026"/>
    <x v="238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5"/>
    <n v="4"/>
    <s v="Nov 2026"/>
    <x v="239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5"/>
    <n v="5"/>
    <s v="Nov 2026"/>
    <x v="240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5"/>
    <n v="6"/>
    <s v="Nov 2026"/>
    <x v="241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5"/>
    <n v="7"/>
    <s v="Nov 2026"/>
    <x v="242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6"/>
    <n v="1"/>
    <s v="Nov 2026"/>
    <x v="243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6"/>
    <n v="2"/>
    <s v="Nov 2026"/>
    <x v="244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6"/>
    <n v="3"/>
    <s v="Nov 2026"/>
    <x v="245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6"/>
    <n v="4"/>
    <s v="Nov 2026"/>
    <x v="246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6"/>
    <n v="5"/>
    <s v="Nov 2026"/>
    <x v="247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6"/>
    <n v="6"/>
    <s v="Nov 2026"/>
    <x v="248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6"/>
    <n v="7"/>
    <s v="Nov 2026"/>
    <x v="249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7"/>
    <n v="1"/>
    <s v="Nov 2026"/>
    <x v="250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7"/>
    <n v="2"/>
    <s v="Nov 2026"/>
    <x v="251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7"/>
    <n v="3"/>
    <s v="Nov 2026"/>
    <x v="252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7"/>
    <n v="4"/>
    <s v="Nov 2026"/>
    <x v="253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7"/>
    <n v="5"/>
    <s v="Nov 2026"/>
    <x v="254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7"/>
    <n v="6"/>
    <s v="Nov 2026"/>
    <x v="255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7"/>
    <n v="7"/>
    <s v="Nov 2026"/>
    <x v="256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8"/>
    <n v="1"/>
    <s v="Nov 2026"/>
    <x v="257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8"/>
    <n v="2"/>
    <s v="Nov 2026"/>
    <x v="258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8"/>
    <n v="3"/>
    <s v="Dec 2026"/>
    <x v="259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8"/>
    <n v="4"/>
    <s v="Dec 2026"/>
    <x v="260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8"/>
    <n v="5"/>
    <s v="Dec 2026"/>
    <x v="261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8"/>
    <n v="6"/>
    <s v="Dec 2026"/>
    <x v="262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8"/>
    <n v="7"/>
    <s v="Dec 2026"/>
    <x v="263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9"/>
    <n v="1"/>
    <s v="Dec 2026"/>
    <x v="264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9"/>
    <n v="2"/>
    <s v="Dec 2026"/>
    <x v="265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9"/>
    <n v="3"/>
    <s v="Dec 2026"/>
    <x v="266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9"/>
    <n v="4"/>
    <s v="Dec 2026"/>
    <x v="267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9"/>
    <n v="5"/>
    <s v="Dec 2026"/>
    <x v="268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9"/>
    <n v="6"/>
    <s v="Dec 2026"/>
    <x v="269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39"/>
    <n v="7"/>
    <s v="Dec 2026"/>
    <x v="270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0"/>
    <n v="1"/>
    <s v="Dec 2026"/>
    <x v="271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0"/>
    <n v="2"/>
    <s v="Dec 2026"/>
    <x v="272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0"/>
    <n v="3"/>
    <s v="Dec 2026"/>
    <x v="273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0"/>
    <n v="4"/>
    <s v="Dec 2026"/>
    <x v="274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0"/>
    <n v="5"/>
    <s v="Dec 2026"/>
    <x v="275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0"/>
    <n v="6"/>
    <s v="Dec 2026"/>
    <x v="276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0"/>
    <n v="7"/>
    <s v="Dec 2026"/>
    <x v="277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1"/>
    <n v="1"/>
    <s v="Dec 2026"/>
    <x v="278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1"/>
    <n v="2"/>
    <s v="Dec 2026"/>
    <x v="279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1"/>
    <n v="3"/>
    <s v="Dec 2026"/>
    <x v="280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1"/>
    <n v="4"/>
    <s v="Dec 2026"/>
    <x v="281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1"/>
    <n v="5"/>
    <s v="Dec 2026"/>
    <x v="282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1"/>
    <n v="6"/>
    <s v="Dec 2026"/>
    <x v="283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1"/>
    <n v="7"/>
    <s v="Dec 2026"/>
    <x v="284"/>
    <x v="5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2"/>
    <n v="1"/>
    <s v="Dec 2026"/>
    <x v="285"/>
    <x v="6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2"/>
    <n v="2"/>
    <s v="Dec 2026"/>
    <x v="286"/>
    <x v="0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2"/>
    <n v="3"/>
    <s v="Dec 2026"/>
    <x v="287"/>
    <x v="1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2"/>
    <n v="4"/>
    <s v="Dec 2026"/>
    <x v="288"/>
    <x v="2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2"/>
    <n v="5"/>
    <s v="Dec 2026"/>
    <x v="289"/>
    <x v="3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2"/>
    <n v="6"/>
    <s v="Jan 2027"/>
    <x v="290"/>
    <x v="4"/>
    <m/>
    <n v="0"/>
    <m/>
    <n v="0"/>
    <m/>
    <n v="0"/>
    <m/>
    <n v="0"/>
    <m/>
    <n v="0"/>
    <m/>
    <n v="0"/>
    <n v="0"/>
    <n v="0"/>
    <n v="0"/>
    <n v="0"/>
    <m/>
    <n v="0"/>
    <m/>
    <n v="0"/>
    <m/>
    <n v="0"/>
    <m/>
    <m/>
    <n v="0"/>
  </r>
  <r>
    <x v="43"/>
    <m/>
    <m/>
    <x v="291"/>
    <x v="7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FC210-471B-43DE-A4EC-982097CB349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I22" firstHeaderRow="0" firstDataRow="1" firstDataCol="1"/>
  <pivotFields count="35">
    <pivotField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sd="0"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showAll="0"/>
    <pivotField axis="axisRow" showAll="0">
      <items count="2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x="3"/>
        <item sd="0" x="4"/>
        <item sd="0" x="5"/>
        <item sd="0" x="6"/>
        <item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3">
    <field x="31"/>
    <field x="30"/>
    <field x="3"/>
  </rowFields>
  <rowItems count="20">
    <i>
      <x/>
    </i>
    <i>
      <x v="3"/>
    </i>
    <i r="1">
      <x v="68"/>
    </i>
    <i r="1">
      <x v="75"/>
    </i>
    <i r="1">
      <x v="82"/>
    </i>
    <i r="1">
      <x v="89"/>
    </i>
    <i>
      <x v="4"/>
    </i>
    <i>
      <x v="5"/>
    </i>
    <i>
      <x v="6"/>
    </i>
    <i>
      <x v="7"/>
    </i>
    <i r="1">
      <x v="187"/>
    </i>
    <i r="1">
      <x v="194"/>
    </i>
    <i r="1">
      <x v="201"/>
    </i>
    <i r="1">
      <x v="208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Agency Count" fld="27" baseField="0" baseItem="0"/>
    <dataField name="Sum of Agency  Hours" fld="28" baseField="0" baseItem="0"/>
    <dataField name="Sum of 5-9AM Count" fld="5" baseField="0" baseItem="0"/>
    <dataField name="Sum of Overtime Hours" fld="7" baseField="0" baseItem="0"/>
    <dataField name="Sum of 11AM -12 PM Count" fld="9" baseField="0" baseItem="0"/>
    <dataField name="Sum of Overtime Hours2" fld="11" baseField="0" baseItem="0"/>
    <dataField name="Sum of Night Count" fld="13" baseField="0" baseItem="0"/>
    <dataField name="Sum of Overtime Hours3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92"/>
  <sheetViews>
    <sheetView tabSelected="1" zoomScaleNormal="100" workbookViewId="0">
      <pane ySplit="1" topLeftCell="A144" activePane="bottomLeft" state="frozen"/>
      <selection pane="bottomLeft" activeCell="AJ153" sqref="AJ153"/>
    </sheetView>
  </sheetViews>
  <sheetFormatPr defaultColWidth="8.5703125" defaultRowHeight="15" x14ac:dyDescent="0.25"/>
  <cols>
    <col min="1" max="1" width="10.7109375" style="1" hidden="1" customWidth="1"/>
    <col min="2" max="2" width="9.7109375" style="1" hidden="1" customWidth="1"/>
    <col min="3" max="3" width="10.7109375" style="1" hidden="1" customWidth="1"/>
    <col min="4" max="4" width="10.7109375" style="1" customWidth="1"/>
    <col min="5" max="5" width="11.140625" style="1" customWidth="1"/>
    <col min="6" max="6" width="6.5703125" style="1" customWidth="1"/>
    <col min="7" max="7" width="9.5703125" style="2" hidden="1" customWidth="1"/>
    <col min="8" max="8" width="9.42578125" style="1" customWidth="1"/>
    <col min="9" max="9" width="9.7109375" style="1" customWidth="1"/>
    <col min="10" max="10" width="6.85546875" style="1" customWidth="1"/>
    <col min="11" max="11" width="11.42578125" style="2" hidden="1" customWidth="1"/>
    <col min="12" max="12" width="8.28515625" style="1" customWidth="1"/>
    <col min="13" max="13" width="7" style="1" customWidth="1"/>
    <col min="14" max="14" width="6.5703125" style="1" customWidth="1"/>
    <col min="15" max="15" width="8.28515625" style="2" hidden="1" customWidth="1"/>
    <col min="16" max="16" width="8.28515625" style="1" customWidth="1"/>
    <col min="17" max="17" width="7" style="1" customWidth="1"/>
    <col min="18" max="18" width="6.5703125" style="2" customWidth="1"/>
    <col min="19" max="19" width="8.28515625" style="2" customWidth="1"/>
    <col min="20" max="20" width="7" style="2" customWidth="1"/>
    <col min="21" max="21" width="9.85546875" style="2" customWidth="1"/>
    <col min="22" max="22" width="8.28515625" style="1" customWidth="1"/>
    <col min="23" max="23" width="8.28515625" style="2" customWidth="1"/>
    <col min="24" max="24" width="7.85546875" style="1" customWidth="1"/>
    <col min="25" max="25" width="7.85546875" style="2" hidden="1" customWidth="1"/>
    <col min="26" max="26" width="6.5703125" style="1" customWidth="1"/>
    <col min="27" max="27" width="6.42578125" style="2" hidden="1" customWidth="1"/>
    <col min="28" max="29" width="7.42578125" style="1" customWidth="1"/>
    <col min="30" max="30" width="7" style="2" customWidth="1"/>
  </cols>
  <sheetData>
    <row r="1" spans="1:30" ht="50.25" customHeight="1" x14ac:dyDescent="0.25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8" t="s">
        <v>10</v>
      </c>
      <c r="L1" s="8" t="s">
        <v>7</v>
      </c>
      <c r="M1" s="8" t="s">
        <v>11</v>
      </c>
      <c r="N1" s="9" t="s">
        <v>12</v>
      </c>
      <c r="O1" s="9" t="s">
        <v>13</v>
      </c>
      <c r="P1" s="9" t="s">
        <v>7</v>
      </c>
      <c r="Q1" s="9" t="s">
        <v>14</v>
      </c>
      <c r="R1" s="10" t="s">
        <v>15</v>
      </c>
      <c r="S1" s="11" t="s">
        <v>16</v>
      </c>
      <c r="T1" s="10" t="s">
        <v>17</v>
      </c>
      <c r="U1" s="12" t="s">
        <v>18</v>
      </c>
      <c r="V1" s="13" t="s">
        <v>19</v>
      </c>
      <c r="W1" s="13" t="s">
        <v>20</v>
      </c>
      <c r="X1" s="14" t="s">
        <v>21</v>
      </c>
      <c r="Y1" s="14" t="s">
        <v>22</v>
      </c>
      <c r="Z1" s="15" t="s">
        <v>23</v>
      </c>
      <c r="AA1" s="15" t="s">
        <v>24</v>
      </c>
      <c r="AB1" s="11" t="s">
        <v>25</v>
      </c>
      <c r="AC1" s="11" t="s">
        <v>26</v>
      </c>
      <c r="AD1" s="16" t="s">
        <v>27</v>
      </c>
    </row>
    <row r="2" spans="1:30" ht="20.25" customHeight="1" x14ac:dyDescent="0.25">
      <c r="A2" s="17">
        <f t="shared" ref="A2:A65" si="0">D2-WEEKDAY(D2,1)+1</f>
        <v>46089</v>
      </c>
      <c r="B2" s="18">
        <f t="shared" ref="B2:B65" si="1">WEEKDAY(D2,1)</f>
        <v>2</v>
      </c>
      <c r="C2" s="18" t="str">
        <f t="shared" ref="C2:C65" si="2">TEXT(D2,"mmm yyyy")</f>
        <v>Mar 2026</v>
      </c>
      <c r="D2" s="19">
        <v>46090</v>
      </c>
      <c r="E2" s="20" t="str">
        <f t="shared" ref="E2:E65" si="3">TEXT(D2,"dddd")</f>
        <v>Monday</v>
      </c>
      <c r="F2" s="21">
        <v>20</v>
      </c>
      <c r="G2" s="22">
        <f t="shared" ref="G2:G65" si="4">F2*8</f>
        <v>160</v>
      </c>
      <c r="H2" s="21">
        <v>14.19</v>
      </c>
      <c r="I2" s="21">
        <f t="shared" ref="I2:I65" si="5">SUM(H2,G2)</f>
        <v>174.19</v>
      </c>
      <c r="J2" s="23">
        <v>11</v>
      </c>
      <c r="K2" s="24">
        <f t="shared" ref="K2:K65" si="6">J2*8</f>
        <v>88</v>
      </c>
      <c r="L2" s="23">
        <v>10.37</v>
      </c>
      <c r="M2" s="23">
        <f t="shared" ref="M2:M65" si="7">SUM(K2,L2)</f>
        <v>98.37</v>
      </c>
      <c r="N2" s="25">
        <v>13</v>
      </c>
      <c r="O2" s="26">
        <f t="shared" ref="O2:O65" si="8">N2*8</f>
        <v>104</v>
      </c>
      <c r="P2" s="25">
        <v>2.67</v>
      </c>
      <c r="Q2" s="25">
        <f t="shared" ref="Q2:Q65" si="9">SUM(O2,P2)</f>
        <v>106.67</v>
      </c>
      <c r="R2" s="27">
        <f t="shared" ref="R2:R65" si="10">SUM(F2,J2,N2)</f>
        <v>44</v>
      </c>
      <c r="S2" s="28">
        <f t="shared" ref="S2:S65" si="11">R2*8</f>
        <v>352</v>
      </c>
      <c r="T2" s="27">
        <f t="shared" ref="T2:T65" si="12">SUM(G2,H2,K2,L2,O2,P2)</f>
        <v>379.23</v>
      </c>
      <c r="U2" s="29">
        <f t="shared" ref="U2:U65" si="13">T2-S2</f>
        <v>27.230000000000018</v>
      </c>
      <c r="V2" s="30"/>
      <c r="W2" s="31">
        <f t="shared" ref="W2:W65" si="14">V2*8</f>
        <v>0</v>
      </c>
      <c r="X2" s="32">
        <v>7</v>
      </c>
      <c r="Y2" s="33">
        <f t="shared" ref="Y2:Y65" si="15">X2*8</f>
        <v>56</v>
      </c>
      <c r="Z2" s="34">
        <v>0</v>
      </c>
      <c r="AA2" s="35">
        <f t="shared" ref="AA2:AA65" si="16">Z2*8</f>
        <v>0</v>
      </c>
      <c r="AB2" s="36">
        <v>3</v>
      </c>
      <c r="AC2" s="36">
        <v>27.5</v>
      </c>
      <c r="AD2" s="29">
        <f t="shared" ref="AD2:AD65" si="17">SUM(T2,AA2,Y2,W2,AC2)</f>
        <v>462.73</v>
      </c>
    </row>
    <row r="3" spans="1:30" ht="20.25" customHeight="1" x14ac:dyDescent="0.25">
      <c r="A3" s="17">
        <f t="shared" si="0"/>
        <v>46089</v>
      </c>
      <c r="B3" s="18">
        <f t="shared" si="1"/>
        <v>3</v>
      </c>
      <c r="C3" s="18" t="str">
        <f t="shared" si="2"/>
        <v>Mar 2026</v>
      </c>
      <c r="D3" s="19">
        <v>46091</v>
      </c>
      <c r="E3" s="20" t="str">
        <f t="shared" si="3"/>
        <v>Tuesday</v>
      </c>
      <c r="F3" s="21">
        <v>20</v>
      </c>
      <c r="G3" s="22">
        <f t="shared" si="4"/>
        <v>160</v>
      </c>
      <c r="H3" s="21">
        <v>4.5599999999999996</v>
      </c>
      <c r="I3" s="21">
        <f t="shared" si="5"/>
        <v>164.56</v>
      </c>
      <c r="J3" s="23">
        <v>12</v>
      </c>
      <c r="K3" s="24">
        <f t="shared" si="6"/>
        <v>96</v>
      </c>
      <c r="L3" s="23">
        <v>4.32</v>
      </c>
      <c r="M3" s="23">
        <f t="shared" si="7"/>
        <v>100.32</v>
      </c>
      <c r="N3" s="25">
        <v>13</v>
      </c>
      <c r="O3" s="26">
        <f t="shared" si="8"/>
        <v>104</v>
      </c>
      <c r="P3" s="25">
        <v>-0.68</v>
      </c>
      <c r="Q3" s="25">
        <f t="shared" si="9"/>
        <v>103.32</v>
      </c>
      <c r="R3" s="27">
        <f t="shared" si="10"/>
        <v>45</v>
      </c>
      <c r="S3" s="28">
        <f t="shared" si="11"/>
        <v>360</v>
      </c>
      <c r="T3" s="27">
        <f t="shared" si="12"/>
        <v>368.2</v>
      </c>
      <c r="U3" s="29">
        <f t="shared" si="13"/>
        <v>8.1999999999999886</v>
      </c>
      <c r="V3" s="30"/>
      <c r="W3" s="31">
        <f t="shared" si="14"/>
        <v>0</v>
      </c>
      <c r="X3" s="32">
        <v>7</v>
      </c>
      <c r="Y3" s="33">
        <f t="shared" si="15"/>
        <v>56</v>
      </c>
      <c r="Z3" s="34">
        <v>2</v>
      </c>
      <c r="AA3" s="35">
        <f t="shared" si="16"/>
        <v>16</v>
      </c>
      <c r="AB3" s="36">
        <v>2</v>
      </c>
      <c r="AC3" s="36">
        <v>16</v>
      </c>
      <c r="AD3" s="29">
        <f t="shared" si="17"/>
        <v>456.2</v>
      </c>
    </row>
    <row r="4" spans="1:30" ht="20.25" customHeight="1" x14ac:dyDescent="0.25">
      <c r="A4" s="17">
        <f t="shared" si="0"/>
        <v>46089</v>
      </c>
      <c r="B4" s="18">
        <f t="shared" si="1"/>
        <v>4</v>
      </c>
      <c r="C4" s="18" t="str">
        <f t="shared" si="2"/>
        <v>Mar 2026</v>
      </c>
      <c r="D4" s="19">
        <v>46092</v>
      </c>
      <c r="E4" s="20" t="str">
        <f t="shared" si="3"/>
        <v>Wednesday</v>
      </c>
      <c r="F4" s="21">
        <v>18</v>
      </c>
      <c r="G4" s="22">
        <f t="shared" si="4"/>
        <v>144</v>
      </c>
      <c r="H4" s="21">
        <v>9.0500000000000007</v>
      </c>
      <c r="I4" s="21">
        <f t="shared" si="5"/>
        <v>153.05000000000001</v>
      </c>
      <c r="J4" s="23">
        <v>12</v>
      </c>
      <c r="K4" s="24">
        <f t="shared" si="6"/>
        <v>96</v>
      </c>
      <c r="L4" s="23">
        <v>3.75</v>
      </c>
      <c r="M4" s="23">
        <f t="shared" si="7"/>
        <v>99.75</v>
      </c>
      <c r="N4" s="25">
        <v>12</v>
      </c>
      <c r="O4" s="26">
        <f t="shared" si="8"/>
        <v>96</v>
      </c>
      <c r="P4" s="25">
        <v>8.1</v>
      </c>
      <c r="Q4" s="25">
        <f t="shared" si="9"/>
        <v>104.1</v>
      </c>
      <c r="R4" s="27">
        <f t="shared" si="10"/>
        <v>42</v>
      </c>
      <c r="S4" s="28">
        <f t="shared" si="11"/>
        <v>336</v>
      </c>
      <c r="T4" s="27">
        <f t="shared" si="12"/>
        <v>356.90000000000003</v>
      </c>
      <c r="U4" s="29">
        <f t="shared" si="13"/>
        <v>20.900000000000034</v>
      </c>
      <c r="V4" s="30">
        <v>5</v>
      </c>
      <c r="W4" s="31">
        <f t="shared" si="14"/>
        <v>40</v>
      </c>
      <c r="X4" s="32">
        <v>6</v>
      </c>
      <c r="Y4" s="33">
        <f t="shared" si="15"/>
        <v>48</v>
      </c>
      <c r="Z4" s="34">
        <v>2</v>
      </c>
      <c r="AA4" s="35">
        <f t="shared" si="16"/>
        <v>16</v>
      </c>
      <c r="AB4" s="36">
        <v>2</v>
      </c>
      <c r="AC4" s="36">
        <v>18</v>
      </c>
      <c r="AD4" s="29">
        <f t="shared" si="17"/>
        <v>478.90000000000003</v>
      </c>
    </row>
    <row r="5" spans="1:30" ht="20.25" customHeight="1" x14ac:dyDescent="0.25">
      <c r="A5" s="17">
        <f t="shared" si="0"/>
        <v>46089</v>
      </c>
      <c r="B5" s="18">
        <f t="shared" si="1"/>
        <v>5</v>
      </c>
      <c r="C5" s="18" t="str">
        <f t="shared" si="2"/>
        <v>Mar 2026</v>
      </c>
      <c r="D5" s="19">
        <v>46093</v>
      </c>
      <c r="E5" s="20" t="str">
        <f t="shared" si="3"/>
        <v>Thursday</v>
      </c>
      <c r="F5" s="21">
        <v>19</v>
      </c>
      <c r="G5" s="22">
        <f t="shared" si="4"/>
        <v>152</v>
      </c>
      <c r="H5" s="21">
        <v>10.97</v>
      </c>
      <c r="I5" s="21">
        <f t="shared" si="5"/>
        <v>162.97</v>
      </c>
      <c r="J5" s="23">
        <v>14</v>
      </c>
      <c r="K5" s="24">
        <f t="shared" si="6"/>
        <v>112</v>
      </c>
      <c r="L5" s="23">
        <v>21.9</v>
      </c>
      <c r="M5" s="23">
        <f t="shared" si="7"/>
        <v>133.9</v>
      </c>
      <c r="N5" s="25">
        <v>13</v>
      </c>
      <c r="O5" s="26">
        <f t="shared" si="8"/>
        <v>104</v>
      </c>
      <c r="P5" s="25">
        <v>29.08</v>
      </c>
      <c r="Q5" s="25">
        <f t="shared" si="9"/>
        <v>133.07999999999998</v>
      </c>
      <c r="R5" s="27">
        <f t="shared" si="10"/>
        <v>46</v>
      </c>
      <c r="S5" s="28">
        <f t="shared" si="11"/>
        <v>368</v>
      </c>
      <c r="T5" s="27">
        <f t="shared" si="12"/>
        <v>429.95</v>
      </c>
      <c r="U5" s="29">
        <f t="shared" si="13"/>
        <v>61.949999999999989</v>
      </c>
      <c r="V5" s="30">
        <v>5</v>
      </c>
      <c r="W5" s="31">
        <f t="shared" si="14"/>
        <v>40</v>
      </c>
      <c r="X5" s="32">
        <v>4</v>
      </c>
      <c r="Y5" s="33">
        <f t="shared" si="15"/>
        <v>32</v>
      </c>
      <c r="Z5" s="34">
        <v>2</v>
      </c>
      <c r="AA5" s="35">
        <f t="shared" si="16"/>
        <v>16</v>
      </c>
      <c r="AB5" s="36">
        <v>9</v>
      </c>
      <c r="AC5" s="36">
        <v>83</v>
      </c>
      <c r="AD5" s="29">
        <f t="shared" si="17"/>
        <v>600.95000000000005</v>
      </c>
    </row>
    <row r="6" spans="1:30" ht="20.25" customHeight="1" x14ac:dyDescent="0.25">
      <c r="A6" s="17">
        <f t="shared" si="0"/>
        <v>46089</v>
      </c>
      <c r="B6" s="18">
        <f t="shared" si="1"/>
        <v>6</v>
      </c>
      <c r="C6" s="18" t="str">
        <f t="shared" si="2"/>
        <v>Mar 2026</v>
      </c>
      <c r="D6" s="19">
        <v>46094</v>
      </c>
      <c r="E6" s="20" t="str">
        <f t="shared" si="3"/>
        <v>Friday</v>
      </c>
      <c r="F6" s="21">
        <v>12</v>
      </c>
      <c r="G6" s="22">
        <f t="shared" si="4"/>
        <v>96</v>
      </c>
      <c r="H6" s="21">
        <v>30.8</v>
      </c>
      <c r="I6" s="21">
        <f t="shared" si="5"/>
        <v>126.8</v>
      </c>
      <c r="J6" s="23"/>
      <c r="K6" s="24">
        <f t="shared" si="6"/>
        <v>0</v>
      </c>
      <c r="L6" s="23"/>
      <c r="M6" s="23">
        <f t="shared" si="7"/>
        <v>0</v>
      </c>
      <c r="N6" s="25"/>
      <c r="O6" s="26">
        <f t="shared" si="8"/>
        <v>0</v>
      </c>
      <c r="P6" s="25"/>
      <c r="Q6" s="25">
        <f t="shared" si="9"/>
        <v>0</v>
      </c>
      <c r="R6" s="27">
        <f t="shared" si="10"/>
        <v>12</v>
      </c>
      <c r="S6" s="28">
        <f t="shared" si="11"/>
        <v>96</v>
      </c>
      <c r="T6" s="27">
        <f t="shared" si="12"/>
        <v>126.8</v>
      </c>
      <c r="U6" s="29">
        <f t="shared" si="13"/>
        <v>30.799999999999997</v>
      </c>
      <c r="V6" s="30">
        <v>1</v>
      </c>
      <c r="W6" s="31">
        <f t="shared" si="14"/>
        <v>8</v>
      </c>
      <c r="X6" s="32">
        <v>2</v>
      </c>
      <c r="Y6" s="33">
        <f t="shared" si="15"/>
        <v>16</v>
      </c>
      <c r="Z6" s="34">
        <v>1</v>
      </c>
      <c r="AA6" s="35">
        <f t="shared" si="16"/>
        <v>8</v>
      </c>
      <c r="AB6" s="36">
        <v>6</v>
      </c>
      <c r="AC6" s="36">
        <v>51.5</v>
      </c>
      <c r="AD6" s="29">
        <f t="shared" si="17"/>
        <v>210.3</v>
      </c>
    </row>
    <row r="7" spans="1:30" ht="20.25" customHeight="1" x14ac:dyDescent="0.25">
      <c r="A7" s="17">
        <f t="shared" si="0"/>
        <v>46089</v>
      </c>
      <c r="B7" s="18">
        <f t="shared" si="1"/>
        <v>7</v>
      </c>
      <c r="C7" s="18" t="str">
        <f t="shared" si="2"/>
        <v>Mar 2026</v>
      </c>
      <c r="D7" s="19">
        <v>46095</v>
      </c>
      <c r="E7" s="20" t="str">
        <f t="shared" si="3"/>
        <v>Saturday</v>
      </c>
      <c r="F7" s="21">
        <v>14</v>
      </c>
      <c r="G7" s="22">
        <f t="shared" si="4"/>
        <v>112</v>
      </c>
      <c r="H7" s="21">
        <v>22.13</v>
      </c>
      <c r="I7" s="21">
        <f t="shared" si="5"/>
        <v>134.13</v>
      </c>
      <c r="J7" s="23">
        <v>15</v>
      </c>
      <c r="K7" s="24">
        <f t="shared" si="6"/>
        <v>120</v>
      </c>
      <c r="L7" s="23">
        <v>27.77</v>
      </c>
      <c r="M7" s="23">
        <f t="shared" si="7"/>
        <v>147.77000000000001</v>
      </c>
      <c r="N7" s="25">
        <v>13</v>
      </c>
      <c r="O7" s="26">
        <f t="shared" si="8"/>
        <v>104</v>
      </c>
      <c r="P7" s="25">
        <v>29.48</v>
      </c>
      <c r="Q7" s="25">
        <f t="shared" si="9"/>
        <v>133.47999999999999</v>
      </c>
      <c r="R7" s="27">
        <f t="shared" si="10"/>
        <v>42</v>
      </c>
      <c r="S7" s="28">
        <f t="shared" si="11"/>
        <v>336</v>
      </c>
      <c r="T7" s="27">
        <f t="shared" si="12"/>
        <v>415.38</v>
      </c>
      <c r="U7" s="29">
        <f t="shared" si="13"/>
        <v>79.38</v>
      </c>
      <c r="V7" s="30">
        <v>2</v>
      </c>
      <c r="W7" s="31">
        <f t="shared" si="14"/>
        <v>16</v>
      </c>
      <c r="X7" s="32">
        <v>4</v>
      </c>
      <c r="Y7" s="33">
        <f t="shared" si="15"/>
        <v>32</v>
      </c>
      <c r="Z7" s="34">
        <v>3</v>
      </c>
      <c r="AA7" s="35">
        <f t="shared" si="16"/>
        <v>24</v>
      </c>
      <c r="AB7" s="36">
        <v>9</v>
      </c>
      <c r="AC7" s="36">
        <v>83</v>
      </c>
      <c r="AD7" s="29">
        <f t="shared" si="17"/>
        <v>570.38</v>
      </c>
    </row>
    <row r="8" spans="1:30" ht="20.25" customHeight="1" x14ac:dyDescent="0.25">
      <c r="A8" s="17">
        <f t="shared" si="0"/>
        <v>46096</v>
      </c>
      <c r="B8" s="18">
        <f t="shared" si="1"/>
        <v>1</v>
      </c>
      <c r="C8" s="18" t="str">
        <f t="shared" si="2"/>
        <v>Mar 2026</v>
      </c>
      <c r="D8" s="19">
        <v>46096</v>
      </c>
      <c r="E8" s="20" t="str">
        <f t="shared" si="3"/>
        <v>Sunday</v>
      </c>
      <c r="F8" s="21">
        <v>14</v>
      </c>
      <c r="G8" s="22">
        <f t="shared" si="4"/>
        <v>112</v>
      </c>
      <c r="H8" s="21">
        <v>10.39</v>
      </c>
      <c r="I8" s="21">
        <f t="shared" si="5"/>
        <v>122.39</v>
      </c>
      <c r="J8" s="23">
        <v>13</v>
      </c>
      <c r="K8" s="24">
        <f t="shared" si="6"/>
        <v>104</v>
      </c>
      <c r="L8" s="23">
        <v>2.15</v>
      </c>
      <c r="M8" s="23">
        <f t="shared" si="7"/>
        <v>106.15</v>
      </c>
      <c r="N8" s="25">
        <v>14</v>
      </c>
      <c r="O8" s="26">
        <f t="shared" si="8"/>
        <v>112</v>
      </c>
      <c r="P8" s="25">
        <v>0.55000000000000004</v>
      </c>
      <c r="Q8" s="25">
        <f t="shared" si="9"/>
        <v>112.55</v>
      </c>
      <c r="R8" s="27">
        <f t="shared" si="10"/>
        <v>41</v>
      </c>
      <c r="S8" s="28">
        <f t="shared" si="11"/>
        <v>328</v>
      </c>
      <c r="T8" s="27">
        <f t="shared" si="12"/>
        <v>341.09</v>
      </c>
      <c r="U8" s="29">
        <f t="shared" si="13"/>
        <v>13.089999999999975</v>
      </c>
      <c r="V8" s="30">
        <v>3</v>
      </c>
      <c r="W8" s="31">
        <f t="shared" si="14"/>
        <v>24</v>
      </c>
      <c r="X8" s="32">
        <v>8</v>
      </c>
      <c r="Y8" s="33">
        <f t="shared" si="15"/>
        <v>64</v>
      </c>
      <c r="Z8" s="34">
        <v>1</v>
      </c>
      <c r="AA8" s="35">
        <f t="shared" si="16"/>
        <v>8</v>
      </c>
      <c r="AB8" s="36">
        <v>11</v>
      </c>
      <c r="AC8" s="36">
        <v>83.25</v>
      </c>
      <c r="AD8" s="29">
        <f t="shared" si="17"/>
        <v>520.33999999999992</v>
      </c>
    </row>
    <row r="9" spans="1:30" ht="20.25" customHeight="1" x14ac:dyDescent="0.25">
      <c r="A9" s="17">
        <f t="shared" si="0"/>
        <v>46096</v>
      </c>
      <c r="B9" s="18">
        <f t="shared" si="1"/>
        <v>2</v>
      </c>
      <c r="C9" s="18" t="str">
        <f t="shared" si="2"/>
        <v>Mar 2026</v>
      </c>
      <c r="D9" s="19">
        <v>46097</v>
      </c>
      <c r="E9" s="20" t="str">
        <f t="shared" si="3"/>
        <v>Monday</v>
      </c>
      <c r="F9" s="21">
        <v>20</v>
      </c>
      <c r="G9" s="22">
        <f t="shared" si="4"/>
        <v>160</v>
      </c>
      <c r="H9" s="21">
        <v>10.15</v>
      </c>
      <c r="I9" s="21">
        <f t="shared" si="5"/>
        <v>170.15</v>
      </c>
      <c r="J9" s="23">
        <v>13</v>
      </c>
      <c r="K9" s="24">
        <f t="shared" si="6"/>
        <v>104</v>
      </c>
      <c r="L9" s="23">
        <v>10.63</v>
      </c>
      <c r="M9" s="23">
        <f t="shared" si="7"/>
        <v>114.63</v>
      </c>
      <c r="N9" s="25">
        <v>12</v>
      </c>
      <c r="O9" s="26">
        <f t="shared" si="8"/>
        <v>96</v>
      </c>
      <c r="P9" s="25">
        <v>0</v>
      </c>
      <c r="Q9" s="25">
        <f t="shared" si="9"/>
        <v>96</v>
      </c>
      <c r="R9" s="27">
        <f t="shared" si="10"/>
        <v>45</v>
      </c>
      <c r="S9" s="28">
        <f t="shared" si="11"/>
        <v>360</v>
      </c>
      <c r="T9" s="27">
        <f t="shared" si="12"/>
        <v>380.78</v>
      </c>
      <c r="U9" s="29">
        <f t="shared" si="13"/>
        <v>20.779999999999973</v>
      </c>
      <c r="V9" s="30">
        <v>5</v>
      </c>
      <c r="W9" s="31">
        <f t="shared" si="14"/>
        <v>40</v>
      </c>
      <c r="X9" s="32">
        <v>7</v>
      </c>
      <c r="Y9" s="33">
        <f t="shared" si="15"/>
        <v>56</v>
      </c>
      <c r="Z9" s="34">
        <v>1</v>
      </c>
      <c r="AA9" s="35">
        <f t="shared" si="16"/>
        <v>8</v>
      </c>
      <c r="AB9" s="36">
        <v>2</v>
      </c>
      <c r="AC9" s="36">
        <v>16</v>
      </c>
      <c r="AD9" s="29">
        <f t="shared" si="17"/>
        <v>500.78</v>
      </c>
    </row>
    <row r="10" spans="1:30" ht="20.25" customHeight="1" x14ac:dyDescent="0.25">
      <c r="A10" s="17">
        <f t="shared" si="0"/>
        <v>46096</v>
      </c>
      <c r="B10" s="18">
        <f t="shared" si="1"/>
        <v>3</v>
      </c>
      <c r="C10" s="18" t="str">
        <f t="shared" si="2"/>
        <v>Mar 2026</v>
      </c>
      <c r="D10" s="19">
        <v>46098</v>
      </c>
      <c r="E10" s="20" t="str">
        <f t="shared" si="3"/>
        <v>Tuesday</v>
      </c>
      <c r="F10" s="21">
        <v>17</v>
      </c>
      <c r="G10" s="22">
        <f t="shared" si="4"/>
        <v>136</v>
      </c>
      <c r="H10" s="21">
        <v>15.6</v>
      </c>
      <c r="I10" s="21">
        <f t="shared" si="5"/>
        <v>151.6</v>
      </c>
      <c r="J10" s="23">
        <v>13</v>
      </c>
      <c r="K10" s="24">
        <f t="shared" si="6"/>
        <v>104</v>
      </c>
      <c r="L10" s="23">
        <v>4.9400000000000004</v>
      </c>
      <c r="M10" s="23">
        <f t="shared" si="7"/>
        <v>108.94</v>
      </c>
      <c r="N10" s="25">
        <v>14</v>
      </c>
      <c r="O10" s="26">
        <f t="shared" si="8"/>
        <v>112</v>
      </c>
      <c r="P10" s="25">
        <v>0.85</v>
      </c>
      <c r="Q10" s="25">
        <f t="shared" si="9"/>
        <v>112.85</v>
      </c>
      <c r="R10" s="27">
        <f t="shared" si="10"/>
        <v>44</v>
      </c>
      <c r="S10" s="28">
        <f t="shared" si="11"/>
        <v>352</v>
      </c>
      <c r="T10" s="27">
        <f t="shared" si="12"/>
        <v>373.39000000000004</v>
      </c>
      <c r="U10" s="29">
        <f t="shared" si="13"/>
        <v>21.390000000000043</v>
      </c>
      <c r="V10" s="30">
        <v>6</v>
      </c>
      <c r="W10" s="31">
        <f t="shared" si="14"/>
        <v>48</v>
      </c>
      <c r="X10" s="32">
        <v>9</v>
      </c>
      <c r="Y10" s="33">
        <f t="shared" si="15"/>
        <v>72</v>
      </c>
      <c r="Z10" s="34">
        <v>1</v>
      </c>
      <c r="AA10" s="35">
        <f t="shared" si="16"/>
        <v>8</v>
      </c>
      <c r="AB10" s="36">
        <v>4</v>
      </c>
      <c r="AC10" s="36">
        <v>35</v>
      </c>
      <c r="AD10" s="29">
        <f t="shared" si="17"/>
        <v>536.3900000000001</v>
      </c>
    </row>
    <row r="11" spans="1:30" ht="20.25" customHeight="1" x14ac:dyDescent="0.25">
      <c r="A11" s="17">
        <f t="shared" si="0"/>
        <v>46096</v>
      </c>
      <c r="B11" s="18">
        <f t="shared" si="1"/>
        <v>4</v>
      </c>
      <c r="C11" s="18" t="str">
        <f t="shared" si="2"/>
        <v>Mar 2026</v>
      </c>
      <c r="D11" s="19">
        <v>46099</v>
      </c>
      <c r="E11" s="20" t="str">
        <f t="shared" si="3"/>
        <v>Wednesday</v>
      </c>
      <c r="F11" s="21">
        <v>18</v>
      </c>
      <c r="G11" s="22">
        <f t="shared" si="4"/>
        <v>144</v>
      </c>
      <c r="H11" s="21">
        <v>3.19</v>
      </c>
      <c r="I11" s="21">
        <f t="shared" si="5"/>
        <v>147.19</v>
      </c>
      <c r="J11" s="23">
        <v>12</v>
      </c>
      <c r="K11" s="24">
        <f t="shared" si="6"/>
        <v>96</v>
      </c>
      <c r="L11" s="23">
        <v>15.8</v>
      </c>
      <c r="M11" s="23">
        <f t="shared" si="7"/>
        <v>111.8</v>
      </c>
      <c r="N11" s="25">
        <v>15</v>
      </c>
      <c r="O11" s="26">
        <f t="shared" si="8"/>
        <v>120</v>
      </c>
      <c r="P11" s="25">
        <v>22.67</v>
      </c>
      <c r="Q11" s="25">
        <f t="shared" si="9"/>
        <v>142.67000000000002</v>
      </c>
      <c r="R11" s="27">
        <f t="shared" si="10"/>
        <v>45</v>
      </c>
      <c r="S11" s="28">
        <f t="shared" si="11"/>
        <v>360</v>
      </c>
      <c r="T11" s="27">
        <f t="shared" si="12"/>
        <v>401.66</v>
      </c>
      <c r="U11" s="29">
        <f t="shared" si="13"/>
        <v>41.660000000000025</v>
      </c>
      <c r="V11" s="30">
        <v>5</v>
      </c>
      <c r="W11" s="31">
        <f t="shared" si="14"/>
        <v>40</v>
      </c>
      <c r="X11" s="32">
        <v>8</v>
      </c>
      <c r="Y11" s="33">
        <f t="shared" si="15"/>
        <v>64</v>
      </c>
      <c r="Z11" s="34">
        <v>2</v>
      </c>
      <c r="AA11" s="35">
        <f t="shared" si="16"/>
        <v>16</v>
      </c>
      <c r="AB11" s="36">
        <v>3</v>
      </c>
      <c r="AC11" s="36">
        <v>25.67</v>
      </c>
      <c r="AD11" s="29">
        <f t="shared" si="17"/>
        <v>547.33000000000004</v>
      </c>
    </row>
    <row r="12" spans="1:30" ht="20.25" customHeight="1" x14ac:dyDescent="0.25">
      <c r="A12" s="17">
        <f t="shared" si="0"/>
        <v>46103</v>
      </c>
      <c r="B12" s="18">
        <f t="shared" si="1"/>
        <v>5</v>
      </c>
      <c r="C12" s="18" t="str">
        <f t="shared" si="2"/>
        <v>Mar 2026</v>
      </c>
      <c r="D12" s="19">
        <v>46107</v>
      </c>
      <c r="E12" s="20" t="str">
        <f t="shared" si="3"/>
        <v>Thursday</v>
      </c>
      <c r="F12" s="21">
        <v>20</v>
      </c>
      <c r="G12" s="22">
        <f t="shared" si="4"/>
        <v>160</v>
      </c>
      <c r="H12" s="21">
        <v>15.85</v>
      </c>
      <c r="I12" s="21">
        <f t="shared" si="5"/>
        <v>175.85</v>
      </c>
      <c r="J12" s="23">
        <v>12</v>
      </c>
      <c r="K12" s="24">
        <f t="shared" si="6"/>
        <v>96</v>
      </c>
      <c r="L12" s="23">
        <v>21.25</v>
      </c>
      <c r="M12" s="23">
        <f t="shared" si="7"/>
        <v>117.25</v>
      </c>
      <c r="N12" s="25">
        <v>15</v>
      </c>
      <c r="O12" s="26">
        <f t="shared" si="8"/>
        <v>120</v>
      </c>
      <c r="P12" s="25">
        <v>26.02</v>
      </c>
      <c r="Q12" s="25">
        <f t="shared" si="9"/>
        <v>146.02000000000001</v>
      </c>
      <c r="R12" s="27">
        <f t="shared" si="10"/>
        <v>47</v>
      </c>
      <c r="S12" s="28">
        <f t="shared" si="11"/>
        <v>376</v>
      </c>
      <c r="T12" s="27">
        <f t="shared" si="12"/>
        <v>439.12</v>
      </c>
      <c r="U12" s="29">
        <f t="shared" si="13"/>
        <v>63.120000000000005</v>
      </c>
      <c r="V12" s="30">
        <v>4</v>
      </c>
      <c r="W12" s="31">
        <f t="shared" si="14"/>
        <v>32</v>
      </c>
      <c r="X12" s="32">
        <v>6</v>
      </c>
      <c r="Y12" s="33">
        <f t="shared" si="15"/>
        <v>48</v>
      </c>
      <c r="Z12" s="34">
        <v>0</v>
      </c>
      <c r="AA12" s="35">
        <f t="shared" si="16"/>
        <v>0</v>
      </c>
      <c r="AB12" s="36">
        <v>11</v>
      </c>
      <c r="AC12" s="36">
        <v>104.5</v>
      </c>
      <c r="AD12" s="29">
        <f t="shared" si="17"/>
        <v>623.62</v>
      </c>
    </row>
    <row r="13" spans="1:30" ht="20.25" customHeight="1" x14ac:dyDescent="0.25">
      <c r="A13" s="17">
        <f t="shared" si="0"/>
        <v>46103</v>
      </c>
      <c r="B13" s="18">
        <f t="shared" si="1"/>
        <v>6</v>
      </c>
      <c r="C13" s="18" t="str">
        <f t="shared" si="2"/>
        <v>Mar 2026</v>
      </c>
      <c r="D13" s="19">
        <v>46108</v>
      </c>
      <c r="E13" s="20" t="str">
        <f t="shared" si="3"/>
        <v>Friday</v>
      </c>
      <c r="F13" s="21">
        <v>13</v>
      </c>
      <c r="G13" s="22">
        <f t="shared" si="4"/>
        <v>104</v>
      </c>
      <c r="H13" s="21">
        <v>11.33</v>
      </c>
      <c r="I13" s="21">
        <f t="shared" si="5"/>
        <v>115.33</v>
      </c>
      <c r="J13" s="23"/>
      <c r="K13" s="24">
        <f t="shared" si="6"/>
        <v>0</v>
      </c>
      <c r="L13" s="23"/>
      <c r="M13" s="23">
        <f t="shared" si="7"/>
        <v>0</v>
      </c>
      <c r="N13" s="25"/>
      <c r="O13" s="26">
        <f t="shared" si="8"/>
        <v>0</v>
      </c>
      <c r="P13" s="25"/>
      <c r="Q13" s="25">
        <f t="shared" si="9"/>
        <v>0</v>
      </c>
      <c r="R13" s="27">
        <f t="shared" si="10"/>
        <v>13</v>
      </c>
      <c r="S13" s="28">
        <f t="shared" si="11"/>
        <v>104</v>
      </c>
      <c r="T13" s="27">
        <f t="shared" si="12"/>
        <v>115.33</v>
      </c>
      <c r="U13" s="29">
        <f t="shared" si="13"/>
        <v>11.329999999999998</v>
      </c>
      <c r="V13" s="30"/>
      <c r="W13" s="31">
        <f t="shared" si="14"/>
        <v>0</v>
      </c>
      <c r="X13" s="32"/>
      <c r="Y13" s="33">
        <f t="shared" si="15"/>
        <v>0</v>
      </c>
      <c r="Z13" s="34"/>
      <c r="AA13" s="35">
        <f t="shared" si="16"/>
        <v>0</v>
      </c>
      <c r="AB13" s="36">
        <v>3</v>
      </c>
      <c r="AC13" s="36">
        <v>23</v>
      </c>
      <c r="AD13" s="29">
        <f t="shared" si="17"/>
        <v>138.32999999999998</v>
      </c>
    </row>
    <row r="14" spans="1:30" ht="20.25" customHeight="1" x14ac:dyDescent="0.25">
      <c r="A14" s="17">
        <f t="shared" si="0"/>
        <v>46103</v>
      </c>
      <c r="B14" s="18">
        <f t="shared" si="1"/>
        <v>7</v>
      </c>
      <c r="C14" s="18" t="str">
        <f t="shared" si="2"/>
        <v>Mar 2026</v>
      </c>
      <c r="D14" s="19">
        <v>46109</v>
      </c>
      <c r="E14" s="20" t="str">
        <f t="shared" si="3"/>
        <v>Saturday</v>
      </c>
      <c r="F14" s="21">
        <v>17</v>
      </c>
      <c r="G14" s="22">
        <f t="shared" si="4"/>
        <v>136</v>
      </c>
      <c r="H14" s="21">
        <v>16.68</v>
      </c>
      <c r="I14" s="21">
        <f t="shared" si="5"/>
        <v>152.68</v>
      </c>
      <c r="J14" s="23">
        <v>12</v>
      </c>
      <c r="K14" s="24">
        <f t="shared" si="6"/>
        <v>96</v>
      </c>
      <c r="L14" s="23">
        <v>16.13</v>
      </c>
      <c r="M14" s="23">
        <f t="shared" si="7"/>
        <v>112.13</v>
      </c>
      <c r="N14" s="25">
        <v>13</v>
      </c>
      <c r="O14" s="26">
        <f t="shared" si="8"/>
        <v>104</v>
      </c>
      <c r="P14" s="25">
        <v>13.95</v>
      </c>
      <c r="Q14" s="25">
        <f t="shared" si="9"/>
        <v>117.95</v>
      </c>
      <c r="R14" s="27">
        <f t="shared" si="10"/>
        <v>42</v>
      </c>
      <c r="S14" s="28">
        <f t="shared" si="11"/>
        <v>336</v>
      </c>
      <c r="T14" s="27">
        <f t="shared" si="12"/>
        <v>382.76</v>
      </c>
      <c r="U14" s="29">
        <f t="shared" si="13"/>
        <v>46.759999999999991</v>
      </c>
      <c r="V14" s="30">
        <v>1</v>
      </c>
      <c r="W14" s="31">
        <f t="shared" si="14"/>
        <v>8</v>
      </c>
      <c r="X14" s="32">
        <v>6</v>
      </c>
      <c r="Y14" s="33">
        <f t="shared" si="15"/>
        <v>48</v>
      </c>
      <c r="Z14" s="34">
        <v>2</v>
      </c>
      <c r="AA14" s="35">
        <f t="shared" si="16"/>
        <v>16</v>
      </c>
      <c r="AB14" s="36">
        <v>15</v>
      </c>
      <c r="AC14" s="36">
        <v>139</v>
      </c>
      <c r="AD14" s="29">
        <f t="shared" si="17"/>
        <v>593.76</v>
      </c>
    </row>
    <row r="15" spans="1:30" ht="20.25" customHeight="1" x14ac:dyDescent="0.25">
      <c r="A15" s="17">
        <f t="shared" si="0"/>
        <v>46110</v>
      </c>
      <c r="B15" s="18">
        <f t="shared" si="1"/>
        <v>1</v>
      </c>
      <c r="C15" s="18" t="str">
        <f t="shared" si="2"/>
        <v>Mar 2026</v>
      </c>
      <c r="D15" s="19">
        <v>46110</v>
      </c>
      <c r="E15" s="20" t="str">
        <f t="shared" si="3"/>
        <v>Sunday</v>
      </c>
      <c r="F15" s="21">
        <v>15</v>
      </c>
      <c r="G15" s="22">
        <f t="shared" si="4"/>
        <v>120</v>
      </c>
      <c r="H15" s="21">
        <v>15.68</v>
      </c>
      <c r="I15" s="21">
        <f t="shared" si="5"/>
        <v>135.68</v>
      </c>
      <c r="J15" s="23">
        <v>13</v>
      </c>
      <c r="K15" s="24">
        <f t="shared" si="6"/>
        <v>104</v>
      </c>
      <c r="L15" s="23">
        <v>-0.1</v>
      </c>
      <c r="M15" s="23">
        <f t="shared" si="7"/>
        <v>103.9</v>
      </c>
      <c r="N15" s="25">
        <v>11</v>
      </c>
      <c r="O15" s="26">
        <f t="shared" si="8"/>
        <v>88</v>
      </c>
      <c r="P15" s="25">
        <v>1.3</v>
      </c>
      <c r="Q15" s="25">
        <f t="shared" si="9"/>
        <v>89.3</v>
      </c>
      <c r="R15" s="27">
        <f t="shared" si="10"/>
        <v>39</v>
      </c>
      <c r="S15" s="28">
        <f t="shared" si="11"/>
        <v>312</v>
      </c>
      <c r="T15" s="27">
        <f t="shared" si="12"/>
        <v>328.88000000000005</v>
      </c>
      <c r="U15" s="29">
        <f t="shared" si="13"/>
        <v>16.880000000000052</v>
      </c>
      <c r="V15" s="30">
        <v>4</v>
      </c>
      <c r="W15" s="31">
        <f t="shared" si="14"/>
        <v>32</v>
      </c>
      <c r="X15" s="32">
        <v>8</v>
      </c>
      <c r="Y15" s="33">
        <f t="shared" si="15"/>
        <v>64</v>
      </c>
      <c r="Z15" s="34">
        <v>1</v>
      </c>
      <c r="AA15" s="35">
        <f t="shared" si="16"/>
        <v>8</v>
      </c>
      <c r="AB15" s="36">
        <v>9</v>
      </c>
      <c r="AC15" s="36">
        <v>76</v>
      </c>
      <c r="AD15" s="29">
        <f t="shared" si="17"/>
        <v>508.88000000000005</v>
      </c>
    </row>
    <row r="16" spans="1:30" ht="20.25" customHeight="1" x14ac:dyDescent="0.25">
      <c r="A16" s="17">
        <f t="shared" si="0"/>
        <v>46110</v>
      </c>
      <c r="B16" s="18">
        <f t="shared" si="1"/>
        <v>2</v>
      </c>
      <c r="C16" s="18" t="str">
        <f t="shared" si="2"/>
        <v>Mar 2026</v>
      </c>
      <c r="D16" s="19">
        <v>46111</v>
      </c>
      <c r="E16" s="20" t="str">
        <f t="shared" si="3"/>
        <v>Monday</v>
      </c>
      <c r="F16" s="21">
        <v>20</v>
      </c>
      <c r="G16" s="22">
        <f t="shared" si="4"/>
        <v>160</v>
      </c>
      <c r="H16" s="21">
        <v>12.24</v>
      </c>
      <c r="I16" s="21">
        <f t="shared" si="5"/>
        <v>172.24</v>
      </c>
      <c r="J16" s="23">
        <v>12</v>
      </c>
      <c r="K16" s="24">
        <f t="shared" si="6"/>
        <v>96</v>
      </c>
      <c r="L16" s="23">
        <v>21.5</v>
      </c>
      <c r="M16" s="23">
        <f t="shared" si="7"/>
        <v>117.5</v>
      </c>
      <c r="N16" s="25">
        <v>9</v>
      </c>
      <c r="O16" s="26">
        <f t="shared" si="8"/>
        <v>72</v>
      </c>
      <c r="P16" s="25">
        <v>4.2699999999999996</v>
      </c>
      <c r="Q16" s="25">
        <f t="shared" si="9"/>
        <v>76.27</v>
      </c>
      <c r="R16" s="27">
        <f t="shared" si="10"/>
        <v>41</v>
      </c>
      <c r="S16" s="28">
        <f t="shared" si="11"/>
        <v>328</v>
      </c>
      <c r="T16" s="27">
        <f t="shared" si="12"/>
        <v>366.01</v>
      </c>
      <c r="U16" s="29">
        <f t="shared" si="13"/>
        <v>38.009999999999991</v>
      </c>
      <c r="V16" s="30">
        <v>4</v>
      </c>
      <c r="W16" s="31">
        <f t="shared" si="14"/>
        <v>32</v>
      </c>
      <c r="X16" s="32">
        <v>8</v>
      </c>
      <c r="Y16" s="33">
        <f t="shared" si="15"/>
        <v>64</v>
      </c>
      <c r="Z16" s="34">
        <v>3</v>
      </c>
      <c r="AA16" s="35">
        <f t="shared" si="16"/>
        <v>24</v>
      </c>
      <c r="AB16" s="36">
        <v>6</v>
      </c>
      <c r="AC16" s="36">
        <v>53</v>
      </c>
      <c r="AD16" s="29">
        <f t="shared" si="17"/>
        <v>539.01</v>
      </c>
    </row>
    <row r="17" spans="1:30" ht="20.25" customHeight="1" x14ac:dyDescent="0.25">
      <c r="A17" s="17">
        <f t="shared" si="0"/>
        <v>46110</v>
      </c>
      <c r="B17" s="18">
        <f t="shared" si="1"/>
        <v>4</v>
      </c>
      <c r="C17" s="18" t="str">
        <f t="shared" si="2"/>
        <v>Apr 2026</v>
      </c>
      <c r="D17" s="19">
        <v>46113</v>
      </c>
      <c r="E17" s="20" t="str">
        <f t="shared" si="3"/>
        <v>Wednesday</v>
      </c>
      <c r="F17" s="21">
        <v>20</v>
      </c>
      <c r="G17" s="22">
        <f t="shared" si="4"/>
        <v>160</v>
      </c>
      <c r="H17" s="21">
        <v>0</v>
      </c>
      <c r="I17" s="21">
        <f t="shared" si="5"/>
        <v>160</v>
      </c>
      <c r="J17" s="23">
        <v>13</v>
      </c>
      <c r="K17" s="24">
        <f t="shared" si="6"/>
        <v>104</v>
      </c>
      <c r="L17" s="23">
        <v>2</v>
      </c>
      <c r="M17" s="23">
        <f t="shared" si="7"/>
        <v>106</v>
      </c>
      <c r="N17" s="25">
        <v>14</v>
      </c>
      <c r="O17" s="26">
        <f t="shared" si="8"/>
        <v>112</v>
      </c>
      <c r="P17" s="25">
        <v>-12</v>
      </c>
      <c r="Q17" s="25">
        <f t="shared" si="9"/>
        <v>100</v>
      </c>
      <c r="R17" s="27">
        <f t="shared" si="10"/>
        <v>47</v>
      </c>
      <c r="S17" s="28">
        <f t="shared" si="11"/>
        <v>376</v>
      </c>
      <c r="T17" s="27">
        <f t="shared" si="12"/>
        <v>366</v>
      </c>
      <c r="U17" s="29">
        <f t="shared" si="13"/>
        <v>-10</v>
      </c>
      <c r="V17" s="30">
        <v>6</v>
      </c>
      <c r="W17" s="31">
        <f t="shared" si="14"/>
        <v>48</v>
      </c>
      <c r="X17" s="32">
        <v>2</v>
      </c>
      <c r="Y17" s="33">
        <f t="shared" si="15"/>
        <v>16</v>
      </c>
      <c r="Z17" s="34">
        <v>1</v>
      </c>
      <c r="AA17" s="35">
        <f t="shared" si="16"/>
        <v>8</v>
      </c>
      <c r="AB17" s="36">
        <v>0</v>
      </c>
      <c r="AC17" s="36">
        <v>0</v>
      </c>
      <c r="AD17" s="29">
        <f t="shared" si="17"/>
        <v>438</v>
      </c>
    </row>
    <row r="18" spans="1:30" ht="20.25" customHeight="1" x14ac:dyDescent="0.25">
      <c r="A18" s="17">
        <f t="shared" si="0"/>
        <v>46110</v>
      </c>
      <c r="B18" s="18">
        <f t="shared" si="1"/>
        <v>5</v>
      </c>
      <c r="C18" s="18" t="str">
        <f t="shared" si="2"/>
        <v>Apr 2026</v>
      </c>
      <c r="D18" s="37">
        <v>46114</v>
      </c>
      <c r="E18" s="17" t="str">
        <f t="shared" si="3"/>
        <v>Thursday</v>
      </c>
      <c r="F18" s="38">
        <v>15</v>
      </c>
      <c r="G18" s="39">
        <f t="shared" si="4"/>
        <v>120</v>
      </c>
      <c r="H18" s="38">
        <v>-4.3499999999999996</v>
      </c>
      <c r="I18" s="38">
        <f t="shared" si="5"/>
        <v>115.65</v>
      </c>
      <c r="J18" s="40">
        <v>12</v>
      </c>
      <c r="K18" s="41">
        <f t="shared" si="6"/>
        <v>96</v>
      </c>
      <c r="L18" s="40">
        <v>14.55</v>
      </c>
      <c r="M18" s="40">
        <f t="shared" si="7"/>
        <v>110.55</v>
      </c>
      <c r="N18" s="42">
        <v>14</v>
      </c>
      <c r="O18" s="43">
        <f t="shared" si="8"/>
        <v>112</v>
      </c>
      <c r="P18" s="42">
        <v>14.1</v>
      </c>
      <c r="Q18" s="42">
        <f t="shared" si="9"/>
        <v>126.1</v>
      </c>
      <c r="R18" s="44">
        <f t="shared" si="10"/>
        <v>41</v>
      </c>
      <c r="S18" s="45">
        <f t="shared" si="11"/>
        <v>328</v>
      </c>
      <c r="T18" s="44">
        <f t="shared" si="12"/>
        <v>352.30000000000007</v>
      </c>
      <c r="U18" s="46">
        <f t="shared" si="13"/>
        <v>24.300000000000068</v>
      </c>
      <c r="V18" s="47"/>
      <c r="W18" s="48">
        <f t="shared" si="14"/>
        <v>0</v>
      </c>
      <c r="X18" s="49"/>
      <c r="Y18" s="50">
        <f t="shared" si="15"/>
        <v>0</v>
      </c>
      <c r="Z18" s="51"/>
      <c r="AA18" s="52">
        <f t="shared" si="16"/>
        <v>0</v>
      </c>
      <c r="AB18" s="36"/>
      <c r="AC18" s="36"/>
      <c r="AD18" s="29">
        <f t="shared" si="17"/>
        <v>352.30000000000007</v>
      </c>
    </row>
    <row r="19" spans="1:30" ht="20.25" customHeight="1" x14ac:dyDescent="0.25">
      <c r="A19" s="17">
        <f t="shared" si="0"/>
        <v>46110</v>
      </c>
      <c r="B19" s="18">
        <f t="shared" si="1"/>
        <v>6</v>
      </c>
      <c r="C19" s="18" t="str">
        <f t="shared" si="2"/>
        <v>Apr 2026</v>
      </c>
      <c r="D19" s="37">
        <v>46115</v>
      </c>
      <c r="E19" s="17" t="str">
        <f t="shared" si="3"/>
        <v>Friday</v>
      </c>
      <c r="F19" s="38">
        <v>11</v>
      </c>
      <c r="G19" s="39">
        <f t="shared" si="4"/>
        <v>88</v>
      </c>
      <c r="H19" s="38">
        <v>-14.75</v>
      </c>
      <c r="I19" s="38">
        <f t="shared" si="5"/>
        <v>73.25</v>
      </c>
      <c r="J19" s="40"/>
      <c r="K19" s="41">
        <f t="shared" si="6"/>
        <v>0</v>
      </c>
      <c r="L19" s="40"/>
      <c r="M19" s="40">
        <f t="shared" si="7"/>
        <v>0</v>
      </c>
      <c r="N19" s="42"/>
      <c r="O19" s="43">
        <f t="shared" si="8"/>
        <v>0</v>
      </c>
      <c r="P19" s="42"/>
      <c r="Q19" s="42">
        <f t="shared" si="9"/>
        <v>0</v>
      </c>
      <c r="R19" s="44">
        <f t="shared" si="10"/>
        <v>11</v>
      </c>
      <c r="S19" s="45">
        <f t="shared" si="11"/>
        <v>88</v>
      </c>
      <c r="T19" s="44">
        <f t="shared" si="12"/>
        <v>73.25</v>
      </c>
      <c r="U19" s="46">
        <f t="shared" si="13"/>
        <v>-14.75</v>
      </c>
      <c r="V19" s="47"/>
      <c r="W19" s="48">
        <f t="shared" si="14"/>
        <v>0</v>
      </c>
      <c r="X19" s="49"/>
      <c r="Y19" s="50">
        <f t="shared" si="15"/>
        <v>0</v>
      </c>
      <c r="Z19" s="51"/>
      <c r="AA19" s="52">
        <f t="shared" si="16"/>
        <v>0</v>
      </c>
      <c r="AB19" s="36"/>
      <c r="AC19" s="36"/>
      <c r="AD19" s="29">
        <f t="shared" si="17"/>
        <v>73.25</v>
      </c>
    </row>
    <row r="20" spans="1:30" ht="20.25" customHeight="1" x14ac:dyDescent="0.25">
      <c r="A20" s="17">
        <f t="shared" si="0"/>
        <v>46110</v>
      </c>
      <c r="B20" s="18">
        <f t="shared" si="1"/>
        <v>7</v>
      </c>
      <c r="C20" s="18" t="str">
        <f t="shared" si="2"/>
        <v>Apr 2026</v>
      </c>
      <c r="D20" s="37">
        <v>46116</v>
      </c>
      <c r="E20" s="17" t="str">
        <f t="shared" si="3"/>
        <v>Saturday</v>
      </c>
      <c r="F20" s="38">
        <v>12</v>
      </c>
      <c r="G20" s="39">
        <f t="shared" si="4"/>
        <v>96</v>
      </c>
      <c r="H20" s="38">
        <v>4.03</v>
      </c>
      <c r="I20" s="38">
        <f t="shared" si="5"/>
        <v>100.03</v>
      </c>
      <c r="J20" s="40">
        <v>9</v>
      </c>
      <c r="K20" s="41">
        <f t="shared" si="6"/>
        <v>72</v>
      </c>
      <c r="L20" s="40">
        <v>3.42</v>
      </c>
      <c r="M20" s="40">
        <f t="shared" si="7"/>
        <v>75.42</v>
      </c>
      <c r="N20" s="42">
        <v>12</v>
      </c>
      <c r="O20" s="43">
        <f t="shared" si="8"/>
        <v>96</v>
      </c>
      <c r="P20" s="42">
        <v>-1</v>
      </c>
      <c r="Q20" s="42">
        <f t="shared" si="9"/>
        <v>95</v>
      </c>
      <c r="R20" s="44">
        <f t="shared" si="10"/>
        <v>33</v>
      </c>
      <c r="S20" s="45">
        <f t="shared" si="11"/>
        <v>264</v>
      </c>
      <c r="T20" s="44">
        <f t="shared" si="12"/>
        <v>270.45</v>
      </c>
      <c r="U20" s="46">
        <f t="shared" si="13"/>
        <v>6.4499999999999886</v>
      </c>
      <c r="V20" s="47"/>
      <c r="W20" s="48">
        <f t="shared" si="14"/>
        <v>0</v>
      </c>
      <c r="X20" s="49"/>
      <c r="Y20" s="50">
        <f t="shared" si="15"/>
        <v>0</v>
      </c>
      <c r="Z20" s="51"/>
      <c r="AA20" s="52">
        <f t="shared" si="16"/>
        <v>0</v>
      </c>
      <c r="AB20" s="36"/>
      <c r="AC20" s="36"/>
      <c r="AD20" s="29">
        <f t="shared" si="17"/>
        <v>270.45</v>
      </c>
    </row>
    <row r="21" spans="1:30" ht="20.25" customHeight="1" x14ac:dyDescent="0.25">
      <c r="A21" s="17">
        <f t="shared" si="0"/>
        <v>46117</v>
      </c>
      <c r="B21" s="18">
        <f t="shared" si="1"/>
        <v>1</v>
      </c>
      <c r="C21" s="18" t="str">
        <f t="shared" si="2"/>
        <v>Apr 2026</v>
      </c>
      <c r="D21" s="37">
        <v>46117</v>
      </c>
      <c r="E21" s="17" t="str">
        <f t="shared" si="3"/>
        <v>Sunday</v>
      </c>
      <c r="F21" s="38">
        <v>17</v>
      </c>
      <c r="G21" s="39">
        <f t="shared" si="4"/>
        <v>136</v>
      </c>
      <c r="H21" s="38">
        <v>3.33</v>
      </c>
      <c r="I21" s="38">
        <f t="shared" si="5"/>
        <v>139.33000000000001</v>
      </c>
      <c r="J21" s="40">
        <v>12</v>
      </c>
      <c r="K21" s="41">
        <f t="shared" si="6"/>
        <v>96</v>
      </c>
      <c r="L21" s="40">
        <v>8.43</v>
      </c>
      <c r="M21" s="40">
        <f t="shared" si="7"/>
        <v>104.43</v>
      </c>
      <c r="N21" s="42">
        <v>12</v>
      </c>
      <c r="O21" s="43">
        <f t="shared" si="8"/>
        <v>96</v>
      </c>
      <c r="P21" s="42">
        <v>-4.88</v>
      </c>
      <c r="Q21" s="42">
        <f t="shared" si="9"/>
        <v>91.12</v>
      </c>
      <c r="R21" s="44">
        <f t="shared" si="10"/>
        <v>41</v>
      </c>
      <c r="S21" s="45">
        <f t="shared" si="11"/>
        <v>328</v>
      </c>
      <c r="T21" s="44">
        <f t="shared" si="12"/>
        <v>334.88</v>
      </c>
      <c r="U21" s="46">
        <f t="shared" si="13"/>
        <v>6.8799999999999955</v>
      </c>
      <c r="V21" s="47"/>
      <c r="W21" s="48">
        <f t="shared" si="14"/>
        <v>0</v>
      </c>
      <c r="X21" s="49"/>
      <c r="Y21" s="50">
        <f t="shared" si="15"/>
        <v>0</v>
      </c>
      <c r="Z21" s="51"/>
      <c r="AA21" s="52">
        <f t="shared" si="16"/>
        <v>0</v>
      </c>
      <c r="AB21" s="36">
        <v>7</v>
      </c>
      <c r="AC21" s="36">
        <v>58</v>
      </c>
      <c r="AD21" s="29">
        <f t="shared" si="17"/>
        <v>392.88</v>
      </c>
    </row>
    <row r="22" spans="1:30" ht="20.25" customHeight="1" x14ac:dyDescent="0.25">
      <c r="A22" s="17">
        <f t="shared" si="0"/>
        <v>46117</v>
      </c>
      <c r="B22" s="18">
        <f t="shared" si="1"/>
        <v>2</v>
      </c>
      <c r="C22" s="18" t="str">
        <f t="shared" si="2"/>
        <v>Apr 2026</v>
      </c>
      <c r="D22" s="37">
        <v>46118</v>
      </c>
      <c r="E22" s="17" t="str">
        <f t="shared" si="3"/>
        <v>Monday</v>
      </c>
      <c r="F22" s="38">
        <v>21</v>
      </c>
      <c r="G22" s="39">
        <f t="shared" si="4"/>
        <v>168</v>
      </c>
      <c r="H22" s="38">
        <v>4.83</v>
      </c>
      <c r="I22" s="38">
        <f t="shared" si="5"/>
        <v>172.83</v>
      </c>
      <c r="J22" s="40">
        <v>10</v>
      </c>
      <c r="K22" s="41">
        <f t="shared" si="6"/>
        <v>80</v>
      </c>
      <c r="L22" s="40">
        <v>6.61</v>
      </c>
      <c r="M22" s="40">
        <f t="shared" si="7"/>
        <v>86.61</v>
      </c>
      <c r="N22" s="42">
        <v>13</v>
      </c>
      <c r="O22" s="43">
        <f t="shared" si="8"/>
        <v>104</v>
      </c>
      <c r="P22" s="42">
        <v>-8.98</v>
      </c>
      <c r="Q22" s="42">
        <f t="shared" si="9"/>
        <v>95.02</v>
      </c>
      <c r="R22" s="44">
        <f t="shared" si="10"/>
        <v>44</v>
      </c>
      <c r="S22" s="45">
        <f t="shared" si="11"/>
        <v>352</v>
      </c>
      <c r="T22" s="44">
        <f t="shared" si="12"/>
        <v>354.46</v>
      </c>
      <c r="U22" s="46">
        <f t="shared" si="13"/>
        <v>2.4599999999999795</v>
      </c>
      <c r="V22" s="47">
        <v>5</v>
      </c>
      <c r="W22" s="48">
        <f t="shared" si="14"/>
        <v>40</v>
      </c>
      <c r="X22" s="49">
        <v>4</v>
      </c>
      <c r="Y22" s="50">
        <f t="shared" si="15"/>
        <v>32</v>
      </c>
      <c r="Z22" s="51">
        <v>1</v>
      </c>
      <c r="AA22" s="52">
        <f t="shared" si="16"/>
        <v>8</v>
      </c>
      <c r="AB22" s="36">
        <v>5</v>
      </c>
      <c r="AC22" s="36">
        <v>41.5</v>
      </c>
      <c r="AD22" s="29">
        <f t="shared" si="17"/>
        <v>475.96</v>
      </c>
    </row>
    <row r="23" spans="1:30" ht="20.25" customHeight="1" x14ac:dyDescent="0.25">
      <c r="A23" s="17">
        <f t="shared" si="0"/>
        <v>46117</v>
      </c>
      <c r="B23" s="18">
        <f t="shared" si="1"/>
        <v>3</v>
      </c>
      <c r="C23" s="18" t="str">
        <f t="shared" si="2"/>
        <v>Apr 2026</v>
      </c>
      <c r="D23" s="37">
        <v>46119</v>
      </c>
      <c r="E23" s="17" t="str">
        <f t="shared" si="3"/>
        <v>Tuesday</v>
      </c>
      <c r="F23" s="38">
        <v>21</v>
      </c>
      <c r="G23" s="39">
        <f t="shared" si="4"/>
        <v>168</v>
      </c>
      <c r="H23" s="38">
        <v>14.27</v>
      </c>
      <c r="I23" s="38">
        <f t="shared" si="5"/>
        <v>182.27</v>
      </c>
      <c r="J23" s="40">
        <v>12</v>
      </c>
      <c r="K23" s="41">
        <f t="shared" si="6"/>
        <v>96</v>
      </c>
      <c r="L23" s="40">
        <v>16.690000000000001</v>
      </c>
      <c r="M23" s="40">
        <f t="shared" si="7"/>
        <v>112.69</v>
      </c>
      <c r="N23" s="42">
        <v>13</v>
      </c>
      <c r="O23" s="43">
        <f t="shared" si="8"/>
        <v>104</v>
      </c>
      <c r="P23" s="42">
        <v>0</v>
      </c>
      <c r="Q23" s="42">
        <f t="shared" si="9"/>
        <v>104</v>
      </c>
      <c r="R23" s="44">
        <f t="shared" si="10"/>
        <v>46</v>
      </c>
      <c r="S23" s="45">
        <f t="shared" si="11"/>
        <v>368</v>
      </c>
      <c r="T23" s="44">
        <f t="shared" si="12"/>
        <v>398.96</v>
      </c>
      <c r="U23" s="46">
        <f t="shared" si="13"/>
        <v>30.95999999999998</v>
      </c>
      <c r="V23" s="47">
        <v>5</v>
      </c>
      <c r="W23" s="48">
        <f t="shared" si="14"/>
        <v>40</v>
      </c>
      <c r="X23" s="49">
        <v>3</v>
      </c>
      <c r="Y23" s="50">
        <f t="shared" si="15"/>
        <v>24</v>
      </c>
      <c r="Z23" s="51">
        <v>3</v>
      </c>
      <c r="AA23" s="52">
        <f t="shared" si="16"/>
        <v>24</v>
      </c>
      <c r="AB23" s="36">
        <v>7</v>
      </c>
      <c r="AC23" s="36">
        <v>66</v>
      </c>
      <c r="AD23" s="29">
        <f t="shared" si="17"/>
        <v>552.96</v>
      </c>
    </row>
    <row r="24" spans="1:30" ht="20.25" customHeight="1" x14ac:dyDescent="0.25">
      <c r="A24" s="17">
        <f t="shared" si="0"/>
        <v>46117</v>
      </c>
      <c r="B24" s="18">
        <f t="shared" si="1"/>
        <v>4</v>
      </c>
      <c r="C24" s="18" t="str">
        <f t="shared" si="2"/>
        <v>Apr 2026</v>
      </c>
      <c r="D24" s="37">
        <v>46120</v>
      </c>
      <c r="E24" s="17" t="str">
        <f t="shared" si="3"/>
        <v>Wednesday</v>
      </c>
      <c r="F24" s="38">
        <v>21</v>
      </c>
      <c r="G24" s="39">
        <f t="shared" si="4"/>
        <v>168</v>
      </c>
      <c r="H24" s="38">
        <v>7.05</v>
      </c>
      <c r="I24" s="38">
        <f t="shared" si="5"/>
        <v>175.05</v>
      </c>
      <c r="J24" s="40">
        <v>14</v>
      </c>
      <c r="K24" s="41">
        <f t="shared" si="6"/>
        <v>112</v>
      </c>
      <c r="L24" s="40">
        <v>19.02</v>
      </c>
      <c r="M24" s="40">
        <f t="shared" si="7"/>
        <v>131.02000000000001</v>
      </c>
      <c r="N24" s="42">
        <v>12</v>
      </c>
      <c r="O24" s="43">
        <f t="shared" si="8"/>
        <v>96</v>
      </c>
      <c r="P24" s="42">
        <v>2.2400000000000002</v>
      </c>
      <c r="Q24" s="42">
        <f t="shared" si="9"/>
        <v>98.24</v>
      </c>
      <c r="R24" s="44">
        <f t="shared" si="10"/>
        <v>47</v>
      </c>
      <c r="S24" s="45">
        <f t="shared" si="11"/>
        <v>376</v>
      </c>
      <c r="T24" s="44">
        <f t="shared" si="12"/>
        <v>404.31</v>
      </c>
      <c r="U24" s="46">
        <f t="shared" si="13"/>
        <v>28.310000000000002</v>
      </c>
      <c r="V24" s="47">
        <v>3</v>
      </c>
      <c r="W24" s="48">
        <f t="shared" si="14"/>
        <v>24</v>
      </c>
      <c r="X24" s="49">
        <v>5</v>
      </c>
      <c r="Y24" s="50">
        <f t="shared" si="15"/>
        <v>40</v>
      </c>
      <c r="Z24" s="51">
        <v>2</v>
      </c>
      <c r="AA24" s="52">
        <f t="shared" si="16"/>
        <v>16</v>
      </c>
      <c r="AB24" s="36">
        <v>4</v>
      </c>
      <c r="AC24" s="36">
        <v>36</v>
      </c>
      <c r="AD24" s="29">
        <f t="shared" si="17"/>
        <v>520.30999999999995</v>
      </c>
    </row>
    <row r="25" spans="1:30" ht="20.25" customHeight="1" x14ac:dyDescent="0.25">
      <c r="A25" s="17">
        <f t="shared" si="0"/>
        <v>46117</v>
      </c>
      <c r="B25" s="18">
        <f t="shared" si="1"/>
        <v>5</v>
      </c>
      <c r="C25" s="18" t="str">
        <f t="shared" si="2"/>
        <v>Apr 2026</v>
      </c>
      <c r="D25" s="37">
        <v>46121</v>
      </c>
      <c r="E25" s="17" t="str">
        <f t="shared" si="3"/>
        <v>Thursday</v>
      </c>
      <c r="F25" s="38">
        <v>19</v>
      </c>
      <c r="G25" s="39">
        <f t="shared" si="4"/>
        <v>152</v>
      </c>
      <c r="H25" s="38">
        <v>6.15</v>
      </c>
      <c r="I25" s="38">
        <f t="shared" si="5"/>
        <v>158.15</v>
      </c>
      <c r="J25" s="40">
        <v>14</v>
      </c>
      <c r="K25" s="41">
        <f t="shared" si="6"/>
        <v>112</v>
      </c>
      <c r="L25" s="40">
        <v>22.27</v>
      </c>
      <c r="M25" s="40">
        <f t="shared" si="7"/>
        <v>134.27000000000001</v>
      </c>
      <c r="N25" s="42">
        <v>16</v>
      </c>
      <c r="O25" s="43">
        <f t="shared" si="8"/>
        <v>128</v>
      </c>
      <c r="P25" s="42">
        <v>26.9</v>
      </c>
      <c r="Q25" s="42">
        <f t="shared" si="9"/>
        <v>154.9</v>
      </c>
      <c r="R25" s="44">
        <f t="shared" si="10"/>
        <v>49</v>
      </c>
      <c r="S25" s="45">
        <f t="shared" si="11"/>
        <v>392</v>
      </c>
      <c r="T25" s="44">
        <f t="shared" si="12"/>
        <v>447.31999999999994</v>
      </c>
      <c r="U25" s="46">
        <f t="shared" si="13"/>
        <v>55.319999999999936</v>
      </c>
      <c r="V25" s="47"/>
      <c r="W25" s="48">
        <f t="shared" si="14"/>
        <v>0</v>
      </c>
      <c r="X25" s="49"/>
      <c r="Y25" s="50">
        <f t="shared" si="15"/>
        <v>0</v>
      </c>
      <c r="Z25" s="51"/>
      <c r="AA25" s="52">
        <f t="shared" si="16"/>
        <v>0</v>
      </c>
      <c r="AB25" s="36">
        <v>8</v>
      </c>
      <c r="AC25" s="36">
        <v>73.25</v>
      </c>
      <c r="AD25" s="29">
        <f t="shared" si="17"/>
        <v>520.56999999999994</v>
      </c>
    </row>
    <row r="26" spans="1:30" ht="20.25" customHeight="1" x14ac:dyDescent="0.25">
      <c r="A26" s="17">
        <f t="shared" si="0"/>
        <v>46117</v>
      </c>
      <c r="B26" s="18">
        <f t="shared" si="1"/>
        <v>6</v>
      </c>
      <c r="C26" s="18" t="str">
        <f t="shared" si="2"/>
        <v>Apr 2026</v>
      </c>
      <c r="D26" s="37">
        <v>46122</v>
      </c>
      <c r="E26" s="17" t="str">
        <f t="shared" si="3"/>
        <v>Friday</v>
      </c>
      <c r="F26" s="38">
        <v>13</v>
      </c>
      <c r="G26" s="39">
        <f t="shared" si="4"/>
        <v>104</v>
      </c>
      <c r="H26" s="38">
        <v>0.08</v>
      </c>
      <c r="I26" s="38">
        <f t="shared" si="5"/>
        <v>104.08</v>
      </c>
      <c r="J26" s="40"/>
      <c r="K26" s="41">
        <f t="shared" si="6"/>
        <v>0</v>
      </c>
      <c r="L26" s="40"/>
      <c r="M26" s="40">
        <f t="shared" si="7"/>
        <v>0</v>
      </c>
      <c r="N26" s="42"/>
      <c r="O26" s="43">
        <f t="shared" si="8"/>
        <v>0</v>
      </c>
      <c r="P26" s="42"/>
      <c r="Q26" s="42">
        <f t="shared" si="9"/>
        <v>0</v>
      </c>
      <c r="R26" s="44">
        <f t="shared" si="10"/>
        <v>13</v>
      </c>
      <c r="S26" s="45">
        <f t="shared" si="11"/>
        <v>104</v>
      </c>
      <c r="T26" s="44">
        <f t="shared" si="12"/>
        <v>104.08</v>
      </c>
      <c r="U26" s="46">
        <f t="shared" si="13"/>
        <v>7.9999999999998295E-2</v>
      </c>
      <c r="V26" s="47"/>
      <c r="W26" s="48">
        <f t="shared" si="14"/>
        <v>0</v>
      </c>
      <c r="X26" s="49"/>
      <c r="Y26" s="50">
        <f t="shared" si="15"/>
        <v>0</v>
      </c>
      <c r="Z26" s="51"/>
      <c r="AA26" s="52">
        <f t="shared" si="16"/>
        <v>0</v>
      </c>
      <c r="AB26" s="36">
        <v>2</v>
      </c>
      <c r="AC26" s="36">
        <v>14</v>
      </c>
      <c r="AD26" s="29">
        <f t="shared" si="17"/>
        <v>118.08</v>
      </c>
    </row>
    <row r="27" spans="1:30" ht="20.25" customHeight="1" x14ac:dyDescent="0.25">
      <c r="A27" s="17">
        <f t="shared" si="0"/>
        <v>46117</v>
      </c>
      <c r="B27" s="18">
        <f t="shared" si="1"/>
        <v>7</v>
      </c>
      <c r="C27" s="18" t="str">
        <f t="shared" si="2"/>
        <v>Apr 2026</v>
      </c>
      <c r="D27" s="37">
        <v>46123</v>
      </c>
      <c r="E27" s="17" t="str">
        <f t="shared" si="3"/>
        <v>Saturday</v>
      </c>
      <c r="F27" s="38">
        <v>15</v>
      </c>
      <c r="G27" s="39">
        <f t="shared" si="4"/>
        <v>120</v>
      </c>
      <c r="H27" s="38">
        <v>11.37</v>
      </c>
      <c r="I27" s="38">
        <f t="shared" si="5"/>
        <v>131.37</v>
      </c>
      <c r="J27" s="40">
        <v>15</v>
      </c>
      <c r="K27" s="41">
        <f t="shared" si="6"/>
        <v>120</v>
      </c>
      <c r="L27" s="40">
        <v>40</v>
      </c>
      <c r="M27" s="40">
        <f t="shared" si="7"/>
        <v>160</v>
      </c>
      <c r="N27" s="42">
        <v>18</v>
      </c>
      <c r="O27" s="43">
        <f t="shared" si="8"/>
        <v>144</v>
      </c>
      <c r="P27" s="42">
        <v>7.04</v>
      </c>
      <c r="Q27" s="42">
        <f t="shared" si="9"/>
        <v>151.04</v>
      </c>
      <c r="R27" s="44">
        <f t="shared" si="10"/>
        <v>48</v>
      </c>
      <c r="S27" s="45">
        <f t="shared" si="11"/>
        <v>384</v>
      </c>
      <c r="T27" s="44">
        <f t="shared" si="12"/>
        <v>442.41</v>
      </c>
      <c r="U27" s="46">
        <f t="shared" si="13"/>
        <v>58.410000000000025</v>
      </c>
      <c r="V27" s="47">
        <v>1</v>
      </c>
      <c r="W27" s="48">
        <f t="shared" si="14"/>
        <v>8</v>
      </c>
      <c r="X27" s="49">
        <v>0</v>
      </c>
      <c r="Y27" s="50">
        <f t="shared" si="15"/>
        <v>0</v>
      </c>
      <c r="Z27" s="51">
        <v>1</v>
      </c>
      <c r="AA27" s="52">
        <f t="shared" si="16"/>
        <v>8</v>
      </c>
      <c r="AB27" s="36">
        <v>10</v>
      </c>
      <c r="AC27" s="36">
        <v>87.5</v>
      </c>
      <c r="AD27" s="29">
        <f t="shared" si="17"/>
        <v>545.91000000000008</v>
      </c>
    </row>
    <row r="28" spans="1:30" ht="20.25" customHeight="1" x14ac:dyDescent="0.25">
      <c r="A28" s="17">
        <f t="shared" si="0"/>
        <v>46124</v>
      </c>
      <c r="B28" s="18">
        <f t="shared" si="1"/>
        <v>1</v>
      </c>
      <c r="C28" s="18" t="str">
        <f t="shared" si="2"/>
        <v>Apr 2026</v>
      </c>
      <c r="D28" s="37">
        <v>46124</v>
      </c>
      <c r="E28" s="17" t="str">
        <f t="shared" si="3"/>
        <v>Sunday</v>
      </c>
      <c r="F28" s="38">
        <v>14</v>
      </c>
      <c r="G28" s="39">
        <f t="shared" si="4"/>
        <v>112</v>
      </c>
      <c r="H28" s="38">
        <v>5.95</v>
      </c>
      <c r="I28" s="38">
        <f t="shared" si="5"/>
        <v>117.95</v>
      </c>
      <c r="J28" s="40">
        <v>16</v>
      </c>
      <c r="K28" s="41">
        <f t="shared" si="6"/>
        <v>128</v>
      </c>
      <c r="L28" s="40">
        <v>10.26</v>
      </c>
      <c r="M28" s="40">
        <f t="shared" si="7"/>
        <v>138.26</v>
      </c>
      <c r="N28" s="42">
        <v>14</v>
      </c>
      <c r="O28" s="43">
        <f t="shared" si="8"/>
        <v>112</v>
      </c>
      <c r="P28" s="42">
        <v>-0.05</v>
      </c>
      <c r="Q28" s="42">
        <f t="shared" si="9"/>
        <v>111.95</v>
      </c>
      <c r="R28" s="44">
        <f t="shared" si="10"/>
        <v>44</v>
      </c>
      <c r="S28" s="45">
        <f t="shared" si="11"/>
        <v>352</v>
      </c>
      <c r="T28" s="44">
        <f t="shared" si="12"/>
        <v>368.15999999999997</v>
      </c>
      <c r="U28" s="46">
        <f t="shared" si="13"/>
        <v>16.159999999999968</v>
      </c>
      <c r="V28" s="47">
        <v>4</v>
      </c>
      <c r="W28" s="48">
        <f t="shared" si="14"/>
        <v>32</v>
      </c>
      <c r="X28" s="49">
        <v>4</v>
      </c>
      <c r="Y28" s="50">
        <f t="shared" si="15"/>
        <v>32</v>
      </c>
      <c r="Z28" s="51">
        <v>0</v>
      </c>
      <c r="AA28" s="52">
        <f t="shared" si="16"/>
        <v>0</v>
      </c>
      <c r="AB28" s="36">
        <v>9</v>
      </c>
      <c r="AC28" s="36">
        <v>71</v>
      </c>
      <c r="AD28" s="29">
        <f t="shared" si="17"/>
        <v>503.15999999999997</v>
      </c>
    </row>
    <row r="29" spans="1:30" ht="20.25" customHeight="1" x14ac:dyDescent="0.25">
      <c r="A29" s="17">
        <f t="shared" si="0"/>
        <v>46124</v>
      </c>
      <c r="B29" s="18">
        <f t="shared" si="1"/>
        <v>2</v>
      </c>
      <c r="C29" s="18" t="str">
        <f t="shared" si="2"/>
        <v>Apr 2026</v>
      </c>
      <c r="D29" s="37">
        <v>46125</v>
      </c>
      <c r="E29" s="17" t="str">
        <f t="shared" si="3"/>
        <v>Monday</v>
      </c>
      <c r="F29" s="38">
        <v>19</v>
      </c>
      <c r="G29" s="39">
        <f t="shared" si="4"/>
        <v>152</v>
      </c>
      <c r="H29" s="38">
        <v>15.91</v>
      </c>
      <c r="I29" s="38">
        <f t="shared" si="5"/>
        <v>167.91</v>
      </c>
      <c r="J29" s="40">
        <v>15</v>
      </c>
      <c r="K29" s="41">
        <f t="shared" si="6"/>
        <v>120</v>
      </c>
      <c r="L29" s="40">
        <v>2.91</v>
      </c>
      <c r="M29" s="40">
        <f t="shared" si="7"/>
        <v>122.91</v>
      </c>
      <c r="N29" s="42">
        <v>14</v>
      </c>
      <c r="O29" s="43">
        <f t="shared" si="8"/>
        <v>112</v>
      </c>
      <c r="P29" s="42">
        <v>-0.02</v>
      </c>
      <c r="Q29" s="42">
        <f t="shared" si="9"/>
        <v>111.98</v>
      </c>
      <c r="R29" s="44">
        <f t="shared" si="10"/>
        <v>48</v>
      </c>
      <c r="S29" s="45">
        <f t="shared" si="11"/>
        <v>384</v>
      </c>
      <c r="T29" s="44">
        <f t="shared" si="12"/>
        <v>402.8</v>
      </c>
      <c r="U29" s="46">
        <f t="shared" si="13"/>
        <v>18.800000000000011</v>
      </c>
      <c r="V29" s="47">
        <v>5</v>
      </c>
      <c r="W29" s="48">
        <f t="shared" si="14"/>
        <v>40</v>
      </c>
      <c r="X29" s="49">
        <v>3</v>
      </c>
      <c r="Y29" s="50">
        <f t="shared" si="15"/>
        <v>24</v>
      </c>
      <c r="Z29" s="51">
        <v>0</v>
      </c>
      <c r="AA29" s="52">
        <f t="shared" si="16"/>
        <v>0</v>
      </c>
      <c r="AB29" s="36">
        <v>4</v>
      </c>
      <c r="AC29" s="36">
        <v>35</v>
      </c>
      <c r="AD29" s="29">
        <f t="shared" si="17"/>
        <v>501.8</v>
      </c>
    </row>
    <row r="30" spans="1:30" ht="20.25" customHeight="1" x14ac:dyDescent="0.25">
      <c r="A30" s="17">
        <f t="shared" si="0"/>
        <v>46124</v>
      </c>
      <c r="B30" s="18">
        <f t="shared" si="1"/>
        <v>3</v>
      </c>
      <c r="C30" s="18" t="str">
        <f t="shared" si="2"/>
        <v>Apr 2026</v>
      </c>
      <c r="D30" s="37">
        <v>46126</v>
      </c>
      <c r="E30" s="17" t="str">
        <f t="shared" si="3"/>
        <v>Tuesday</v>
      </c>
      <c r="F30" s="38">
        <v>20</v>
      </c>
      <c r="G30" s="39">
        <f t="shared" si="4"/>
        <v>160</v>
      </c>
      <c r="H30" s="38">
        <v>4.1900000000000004</v>
      </c>
      <c r="I30" s="38">
        <f t="shared" si="5"/>
        <v>164.19</v>
      </c>
      <c r="J30" s="40">
        <v>14</v>
      </c>
      <c r="K30" s="41">
        <f t="shared" si="6"/>
        <v>112</v>
      </c>
      <c r="L30" s="40">
        <v>-0.41</v>
      </c>
      <c r="M30" s="40">
        <f t="shared" si="7"/>
        <v>111.59</v>
      </c>
      <c r="N30" s="42">
        <v>13</v>
      </c>
      <c r="O30" s="43">
        <f t="shared" si="8"/>
        <v>104</v>
      </c>
      <c r="P30" s="42">
        <v>0</v>
      </c>
      <c r="Q30" s="42">
        <f t="shared" si="9"/>
        <v>104</v>
      </c>
      <c r="R30" s="44">
        <f t="shared" si="10"/>
        <v>47</v>
      </c>
      <c r="S30" s="45">
        <f t="shared" si="11"/>
        <v>376</v>
      </c>
      <c r="T30" s="44">
        <f t="shared" si="12"/>
        <v>379.78</v>
      </c>
      <c r="U30" s="46">
        <f t="shared" si="13"/>
        <v>3.7799999999999727</v>
      </c>
      <c r="V30" s="47">
        <v>5</v>
      </c>
      <c r="W30" s="48">
        <f t="shared" si="14"/>
        <v>40</v>
      </c>
      <c r="X30" s="49">
        <v>4</v>
      </c>
      <c r="Y30" s="50">
        <f t="shared" si="15"/>
        <v>32</v>
      </c>
      <c r="Z30" s="51">
        <v>1</v>
      </c>
      <c r="AA30" s="52">
        <f t="shared" si="16"/>
        <v>8</v>
      </c>
      <c r="AB30" s="36">
        <v>4</v>
      </c>
      <c r="AC30" s="36">
        <v>31</v>
      </c>
      <c r="AD30" s="29">
        <f t="shared" si="17"/>
        <v>490.78</v>
      </c>
    </row>
    <row r="31" spans="1:30" ht="20.25" customHeight="1" x14ac:dyDescent="0.25">
      <c r="A31" s="17">
        <f t="shared" si="0"/>
        <v>46124</v>
      </c>
      <c r="B31" s="18">
        <f t="shared" si="1"/>
        <v>4</v>
      </c>
      <c r="C31" s="18" t="str">
        <f t="shared" si="2"/>
        <v>Apr 2026</v>
      </c>
      <c r="D31" s="37">
        <v>46127</v>
      </c>
      <c r="E31" s="17" t="str">
        <f t="shared" si="3"/>
        <v>Wednesday</v>
      </c>
      <c r="F31" s="38">
        <v>20</v>
      </c>
      <c r="G31" s="39">
        <f t="shared" si="4"/>
        <v>160</v>
      </c>
      <c r="H31" s="38">
        <v>-2.14</v>
      </c>
      <c r="I31" s="38">
        <f t="shared" si="5"/>
        <v>157.86000000000001</v>
      </c>
      <c r="J31" s="40">
        <v>14</v>
      </c>
      <c r="K31" s="41">
        <f t="shared" si="6"/>
        <v>112</v>
      </c>
      <c r="L31" s="40">
        <v>-11.92</v>
      </c>
      <c r="M31" s="40">
        <f t="shared" si="7"/>
        <v>100.08</v>
      </c>
      <c r="N31" s="42">
        <v>14</v>
      </c>
      <c r="O31" s="43">
        <f t="shared" si="8"/>
        <v>112</v>
      </c>
      <c r="P31" s="42">
        <v>5.43</v>
      </c>
      <c r="Q31" s="42">
        <f t="shared" si="9"/>
        <v>117.43</v>
      </c>
      <c r="R31" s="44">
        <f t="shared" si="10"/>
        <v>48</v>
      </c>
      <c r="S31" s="45">
        <f t="shared" si="11"/>
        <v>384</v>
      </c>
      <c r="T31" s="44">
        <f t="shared" si="12"/>
        <v>375.37</v>
      </c>
      <c r="U31" s="46">
        <f t="shared" si="13"/>
        <v>-8.6299999999999955</v>
      </c>
      <c r="V31" s="47">
        <v>4</v>
      </c>
      <c r="W31" s="48">
        <f t="shared" si="14"/>
        <v>32</v>
      </c>
      <c r="X31" s="49">
        <v>6</v>
      </c>
      <c r="Y31" s="50">
        <f t="shared" si="15"/>
        <v>48</v>
      </c>
      <c r="Z31" s="51">
        <v>0</v>
      </c>
      <c r="AA31" s="52">
        <f t="shared" si="16"/>
        <v>0</v>
      </c>
      <c r="AB31" s="36">
        <v>3</v>
      </c>
      <c r="AC31" s="36">
        <v>25</v>
      </c>
      <c r="AD31" s="29">
        <f t="shared" si="17"/>
        <v>480.37</v>
      </c>
    </row>
    <row r="32" spans="1:30" ht="20.25" customHeight="1" x14ac:dyDescent="0.25">
      <c r="A32" s="17">
        <f t="shared" si="0"/>
        <v>46124</v>
      </c>
      <c r="B32" s="18">
        <f t="shared" si="1"/>
        <v>5</v>
      </c>
      <c r="C32" s="18" t="str">
        <f t="shared" si="2"/>
        <v>Apr 2026</v>
      </c>
      <c r="D32" s="37">
        <v>46128</v>
      </c>
      <c r="E32" s="17" t="str">
        <f t="shared" si="3"/>
        <v>Thursday</v>
      </c>
      <c r="F32" s="38">
        <v>18</v>
      </c>
      <c r="G32" s="39">
        <f t="shared" si="4"/>
        <v>144</v>
      </c>
      <c r="H32" s="38">
        <v>15.43</v>
      </c>
      <c r="I32" s="38">
        <f t="shared" si="5"/>
        <v>159.43</v>
      </c>
      <c r="J32" s="40">
        <v>14</v>
      </c>
      <c r="K32" s="41">
        <f t="shared" si="6"/>
        <v>112</v>
      </c>
      <c r="L32" s="40">
        <v>16.41</v>
      </c>
      <c r="M32" s="40">
        <f t="shared" si="7"/>
        <v>128.41</v>
      </c>
      <c r="N32" s="42">
        <v>18</v>
      </c>
      <c r="O32" s="43">
        <f t="shared" si="8"/>
        <v>144</v>
      </c>
      <c r="P32" s="42">
        <v>17.16</v>
      </c>
      <c r="Q32" s="42">
        <f t="shared" si="9"/>
        <v>161.16</v>
      </c>
      <c r="R32" s="44">
        <f t="shared" si="10"/>
        <v>50</v>
      </c>
      <c r="S32" s="45">
        <f t="shared" si="11"/>
        <v>400</v>
      </c>
      <c r="T32" s="44">
        <f t="shared" si="12"/>
        <v>449.00000000000006</v>
      </c>
      <c r="U32" s="46">
        <f t="shared" si="13"/>
        <v>49.000000000000057</v>
      </c>
      <c r="V32" s="47">
        <v>4</v>
      </c>
      <c r="W32" s="48">
        <f t="shared" si="14"/>
        <v>32</v>
      </c>
      <c r="X32" s="49">
        <v>1</v>
      </c>
      <c r="Y32" s="50">
        <f t="shared" si="15"/>
        <v>8</v>
      </c>
      <c r="Z32" s="51">
        <v>1</v>
      </c>
      <c r="AA32" s="52">
        <f t="shared" si="16"/>
        <v>8</v>
      </c>
      <c r="AB32" s="36">
        <v>10</v>
      </c>
      <c r="AC32" s="36">
        <v>93.5</v>
      </c>
      <c r="AD32" s="29">
        <f t="shared" si="17"/>
        <v>590.5</v>
      </c>
    </row>
    <row r="33" spans="1:30" ht="20.25" customHeight="1" x14ac:dyDescent="0.25">
      <c r="A33" s="17">
        <f t="shared" si="0"/>
        <v>46124</v>
      </c>
      <c r="B33" s="18">
        <f t="shared" si="1"/>
        <v>6</v>
      </c>
      <c r="C33" s="18" t="str">
        <f t="shared" si="2"/>
        <v>Apr 2026</v>
      </c>
      <c r="D33" s="37">
        <v>46129</v>
      </c>
      <c r="E33" s="17" t="str">
        <f t="shared" si="3"/>
        <v>Friday</v>
      </c>
      <c r="F33" s="38">
        <v>14</v>
      </c>
      <c r="G33" s="39">
        <f t="shared" si="4"/>
        <v>112</v>
      </c>
      <c r="H33" s="38">
        <v>-1.67</v>
      </c>
      <c r="I33" s="38">
        <f t="shared" si="5"/>
        <v>110.33</v>
      </c>
      <c r="J33" s="40"/>
      <c r="K33" s="41">
        <f t="shared" si="6"/>
        <v>0</v>
      </c>
      <c r="L33" s="40"/>
      <c r="M33" s="40">
        <f t="shared" si="7"/>
        <v>0</v>
      </c>
      <c r="N33" s="42"/>
      <c r="O33" s="43">
        <f t="shared" si="8"/>
        <v>0</v>
      </c>
      <c r="P33" s="42"/>
      <c r="Q33" s="42">
        <f t="shared" si="9"/>
        <v>0</v>
      </c>
      <c r="R33" s="44">
        <f t="shared" si="10"/>
        <v>14</v>
      </c>
      <c r="S33" s="45">
        <f t="shared" si="11"/>
        <v>112</v>
      </c>
      <c r="T33" s="44">
        <f t="shared" si="12"/>
        <v>110.33</v>
      </c>
      <c r="U33" s="46">
        <f t="shared" si="13"/>
        <v>-1.6700000000000017</v>
      </c>
      <c r="V33" s="47"/>
      <c r="W33" s="48">
        <f t="shared" si="14"/>
        <v>0</v>
      </c>
      <c r="X33" s="49"/>
      <c r="Y33" s="50">
        <f t="shared" si="15"/>
        <v>0</v>
      </c>
      <c r="Z33" s="51"/>
      <c r="AA33" s="52">
        <f t="shared" si="16"/>
        <v>0</v>
      </c>
      <c r="AB33" s="36">
        <v>2</v>
      </c>
      <c r="AC33" s="36">
        <v>14</v>
      </c>
      <c r="AD33" s="29">
        <f t="shared" si="17"/>
        <v>124.33</v>
      </c>
    </row>
    <row r="34" spans="1:30" ht="20.25" customHeight="1" x14ac:dyDescent="0.25">
      <c r="A34" s="17">
        <f t="shared" si="0"/>
        <v>46124</v>
      </c>
      <c r="B34" s="18">
        <f t="shared" si="1"/>
        <v>7</v>
      </c>
      <c r="C34" s="18" t="str">
        <f t="shared" si="2"/>
        <v>Apr 2026</v>
      </c>
      <c r="D34" s="37">
        <v>46130</v>
      </c>
      <c r="E34" s="17" t="str">
        <f t="shared" si="3"/>
        <v>Saturday</v>
      </c>
      <c r="F34" s="38">
        <v>16</v>
      </c>
      <c r="G34" s="39">
        <f t="shared" si="4"/>
        <v>128</v>
      </c>
      <c r="H34" s="38">
        <v>17.940000000000001</v>
      </c>
      <c r="I34" s="38">
        <f t="shared" si="5"/>
        <v>145.94</v>
      </c>
      <c r="J34" s="40">
        <v>12</v>
      </c>
      <c r="K34" s="41">
        <f t="shared" si="6"/>
        <v>96</v>
      </c>
      <c r="L34" s="40">
        <v>13.78</v>
      </c>
      <c r="M34" s="40">
        <f t="shared" si="7"/>
        <v>109.78</v>
      </c>
      <c r="N34" s="42">
        <v>18</v>
      </c>
      <c r="O34" s="43">
        <f t="shared" si="8"/>
        <v>144</v>
      </c>
      <c r="P34" s="42">
        <v>21.58</v>
      </c>
      <c r="Q34" s="42">
        <f t="shared" si="9"/>
        <v>165.57999999999998</v>
      </c>
      <c r="R34" s="44">
        <f t="shared" si="10"/>
        <v>46</v>
      </c>
      <c r="S34" s="45">
        <f t="shared" si="11"/>
        <v>368</v>
      </c>
      <c r="T34" s="44">
        <f t="shared" si="12"/>
        <v>421.3</v>
      </c>
      <c r="U34" s="46">
        <f t="shared" si="13"/>
        <v>53.300000000000011</v>
      </c>
      <c r="V34" s="47">
        <v>1</v>
      </c>
      <c r="W34" s="48">
        <f t="shared" si="14"/>
        <v>8</v>
      </c>
      <c r="X34" s="49">
        <v>2</v>
      </c>
      <c r="Y34" s="50">
        <f t="shared" si="15"/>
        <v>16</v>
      </c>
      <c r="Z34" s="51">
        <v>0</v>
      </c>
      <c r="AA34" s="52">
        <f t="shared" si="16"/>
        <v>0</v>
      </c>
      <c r="AB34" s="36">
        <v>16</v>
      </c>
      <c r="AC34" s="36">
        <v>145</v>
      </c>
      <c r="AD34" s="29">
        <f t="shared" si="17"/>
        <v>590.29999999999995</v>
      </c>
    </row>
    <row r="35" spans="1:30" ht="20.25" customHeight="1" x14ac:dyDescent="0.25">
      <c r="A35" s="17">
        <f t="shared" si="0"/>
        <v>46131</v>
      </c>
      <c r="B35" s="18">
        <f t="shared" si="1"/>
        <v>1</v>
      </c>
      <c r="C35" s="18" t="str">
        <f t="shared" si="2"/>
        <v>Apr 2026</v>
      </c>
      <c r="D35" s="37">
        <v>46131</v>
      </c>
      <c r="E35" s="17" t="str">
        <f t="shared" si="3"/>
        <v>Sunday</v>
      </c>
      <c r="F35" s="38">
        <v>17</v>
      </c>
      <c r="G35" s="39">
        <f t="shared" si="4"/>
        <v>136</v>
      </c>
      <c r="H35" s="38">
        <v>9.84</v>
      </c>
      <c r="I35" s="38">
        <f t="shared" si="5"/>
        <v>145.84</v>
      </c>
      <c r="J35" s="40">
        <v>14</v>
      </c>
      <c r="K35" s="41">
        <f t="shared" si="6"/>
        <v>112</v>
      </c>
      <c r="L35" s="40">
        <v>-1.1000000000000001</v>
      </c>
      <c r="M35" s="40">
        <f t="shared" si="7"/>
        <v>110.9</v>
      </c>
      <c r="N35" s="42">
        <v>14</v>
      </c>
      <c r="O35" s="43">
        <f t="shared" si="8"/>
        <v>112</v>
      </c>
      <c r="P35" s="42">
        <v>-0.8</v>
      </c>
      <c r="Q35" s="42">
        <f t="shared" si="9"/>
        <v>111.2</v>
      </c>
      <c r="R35" s="44">
        <f t="shared" si="10"/>
        <v>45</v>
      </c>
      <c r="S35" s="45">
        <f t="shared" si="11"/>
        <v>360</v>
      </c>
      <c r="T35" s="44">
        <f t="shared" si="12"/>
        <v>367.94</v>
      </c>
      <c r="U35" s="46">
        <f t="shared" si="13"/>
        <v>7.9399999999999977</v>
      </c>
      <c r="V35" s="47">
        <v>5</v>
      </c>
      <c r="W35" s="48">
        <f t="shared" si="14"/>
        <v>40</v>
      </c>
      <c r="X35" s="49">
        <v>2</v>
      </c>
      <c r="Y35" s="50">
        <f t="shared" si="15"/>
        <v>16</v>
      </c>
      <c r="Z35" s="51">
        <v>0</v>
      </c>
      <c r="AA35" s="52">
        <f t="shared" si="16"/>
        <v>0</v>
      </c>
      <c r="AB35" s="36">
        <v>10</v>
      </c>
      <c r="AC35" s="36">
        <v>83</v>
      </c>
      <c r="AD35" s="29">
        <f t="shared" si="17"/>
        <v>506.94</v>
      </c>
    </row>
    <row r="36" spans="1:30" ht="20.25" customHeight="1" x14ac:dyDescent="0.25">
      <c r="A36" s="17">
        <f t="shared" si="0"/>
        <v>46131</v>
      </c>
      <c r="B36" s="18">
        <f t="shared" si="1"/>
        <v>2</v>
      </c>
      <c r="C36" s="18" t="str">
        <f t="shared" si="2"/>
        <v>Apr 2026</v>
      </c>
      <c r="D36" s="37">
        <v>46132</v>
      </c>
      <c r="E36" s="17" t="str">
        <f t="shared" si="3"/>
        <v>Monday</v>
      </c>
      <c r="F36" s="38">
        <v>20</v>
      </c>
      <c r="G36" s="39">
        <f t="shared" si="4"/>
        <v>160</v>
      </c>
      <c r="H36" s="38">
        <v>5.79</v>
      </c>
      <c r="I36" s="38">
        <f t="shared" si="5"/>
        <v>165.79</v>
      </c>
      <c r="J36" s="40">
        <v>13</v>
      </c>
      <c r="K36" s="41">
        <f t="shared" si="6"/>
        <v>104</v>
      </c>
      <c r="L36" s="40">
        <v>8.16</v>
      </c>
      <c r="M36" s="40">
        <f t="shared" si="7"/>
        <v>112.16</v>
      </c>
      <c r="N36" s="42">
        <v>14</v>
      </c>
      <c r="O36" s="43">
        <f t="shared" si="8"/>
        <v>112</v>
      </c>
      <c r="P36" s="42">
        <v>2.34</v>
      </c>
      <c r="Q36" s="42">
        <f t="shared" si="9"/>
        <v>114.34</v>
      </c>
      <c r="R36" s="44">
        <f t="shared" si="10"/>
        <v>47</v>
      </c>
      <c r="S36" s="45">
        <f t="shared" si="11"/>
        <v>376</v>
      </c>
      <c r="T36" s="44">
        <f t="shared" si="12"/>
        <v>392.28999999999996</v>
      </c>
      <c r="U36" s="46">
        <f t="shared" si="13"/>
        <v>16.289999999999964</v>
      </c>
      <c r="V36" s="47">
        <v>6</v>
      </c>
      <c r="W36" s="48">
        <f t="shared" si="14"/>
        <v>48</v>
      </c>
      <c r="X36" s="49">
        <v>2</v>
      </c>
      <c r="Y36" s="50">
        <f t="shared" si="15"/>
        <v>16</v>
      </c>
      <c r="Z36" s="51">
        <v>0</v>
      </c>
      <c r="AA36" s="52">
        <f t="shared" si="16"/>
        <v>0</v>
      </c>
      <c r="AB36" s="36">
        <v>5</v>
      </c>
      <c r="AC36" s="36">
        <v>43.5</v>
      </c>
      <c r="AD36" s="29">
        <f t="shared" si="17"/>
        <v>499.78999999999996</v>
      </c>
    </row>
    <row r="37" spans="1:30" ht="20.25" customHeight="1" x14ac:dyDescent="0.25">
      <c r="A37" s="17">
        <f t="shared" si="0"/>
        <v>46131</v>
      </c>
      <c r="B37" s="18">
        <f t="shared" si="1"/>
        <v>3</v>
      </c>
      <c r="C37" s="18" t="str">
        <f t="shared" si="2"/>
        <v>Apr 2026</v>
      </c>
      <c r="D37" s="37">
        <v>46133</v>
      </c>
      <c r="E37" s="17" t="str">
        <f t="shared" si="3"/>
        <v>Tuesday</v>
      </c>
      <c r="F37" s="38">
        <v>19</v>
      </c>
      <c r="G37" s="39">
        <f t="shared" si="4"/>
        <v>152</v>
      </c>
      <c r="H37" s="38">
        <v>10.42</v>
      </c>
      <c r="I37" s="38">
        <f t="shared" si="5"/>
        <v>162.41999999999999</v>
      </c>
      <c r="J37" s="40">
        <v>14</v>
      </c>
      <c r="K37" s="41">
        <f t="shared" si="6"/>
        <v>112</v>
      </c>
      <c r="L37" s="40">
        <v>-0.25</v>
      </c>
      <c r="M37" s="40">
        <f t="shared" si="7"/>
        <v>111.75</v>
      </c>
      <c r="N37" s="42">
        <v>13</v>
      </c>
      <c r="O37" s="43">
        <f t="shared" si="8"/>
        <v>104</v>
      </c>
      <c r="P37" s="42">
        <v>7.5</v>
      </c>
      <c r="Q37" s="42">
        <f t="shared" si="9"/>
        <v>111.5</v>
      </c>
      <c r="R37" s="44">
        <f t="shared" si="10"/>
        <v>46</v>
      </c>
      <c r="S37" s="45">
        <f t="shared" si="11"/>
        <v>368</v>
      </c>
      <c r="T37" s="44">
        <f t="shared" si="12"/>
        <v>385.66999999999996</v>
      </c>
      <c r="U37" s="46">
        <f t="shared" si="13"/>
        <v>17.669999999999959</v>
      </c>
      <c r="V37" s="47">
        <v>6</v>
      </c>
      <c r="W37" s="48">
        <f t="shared" si="14"/>
        <v>48</v>
      </c>
      <c r="X37" s="49">
        <v>3</v>
      </c>
      <c r="Y37" s="50">
        <f t="shared" si="15"/>
        <v>24</v>
      </c>
      <c r="Z37" s="51">
        <v>2</v>
      </c>
      <c r="AA37" s="52">
        <f t="shared" si="16"/>
        <v>16</v>
      </c>
      <c r="AB37" s="36">
        <v>13</v>
      </c>
      <c r="AC37" s="36">
        <v>111.5</v>
      </c>
      <c r="AD37" s="29">
        <f t="shared" si="17"/>
        <v>585.16999999999996</v>
      </c>
    </row>
    <row r="38" spans="1:30" ht="20.25" customHeight="1" x14ac:dyDescent="0.25">
      <c r="A38" s="17">
        <f t="shared" si="0"/>
        <v>46131</v>
      </c>
      <c r="B38" s="18">
        <f t="shared" si="1"/>
        <v>4</v>
      </c>
      <c r="C38" s="18" t="str">
        <f t="shared" si="2"/>
        <v>Apr 2026</v>
      </c>
      <c r="D38" s="37">
        <v>46134</v>
      </c>
      <c r="E38" s="17" t="str">
        <f t="shared" si="3"/>
        <v>Wednesday</v>
      </c>
      <c r="F38" s="38">
        <v>18</v>
      </c>
      <c r="G38" s="39">
        <f t="shared" si="4"/>
        <v>144</v>
      </c>
      <c r="H38" s="38">
        <v>13.03</v>
      </c>
      <c r="I38" s="38">
        <f t="shared" si="5"/>
        <v>157.03</v>
      </c>
      <c r="J38" s="40">
        <v>13</v>
      </c>
      <c r="K38" s="41">
        <f t="shared" si="6"/>
        <v>104</v>
      </c>
      <c r="L38" s="40">
        <v>3.89</v>
      </c>
      <c r="M38" s="40">
        <f t="shared" si="7"/>
        <v>107.89</v>
      </c>
      <c r="N38" s="42">
        <v>14</v>
      </c>
      <c r="O38" s="43">
        <f t="shared" si="8"/>
        <v>112</v>
      </c>
      <c r="P38" s="42">
        <v>0</v>
      </c>
      <c r="Q38" s="42">
        <f t="shared" si="9"/>
        <v>112</v>
      </c>
      <c r="R38" s="44">
        <f t="shared" si="10"/>
        <v>45</v>
      </c>
      <c r="S38" s="45">
        <f t="shared" si="11"/>
        <v>360</v>
      </c>
      <c r="T38" s="44">
        <f t="shared" si="12"/>
        <v>376.91999999999996</v>
      </c>
      <c r="U38" s="46">
        <f t="shared" si="13"/>
        <v>16.919999999999959</v>
      </c>
      <c r="V38" s="47">
        <v>6</v>
      </c>
      <c r="W38" s="48">
        <f t="shared" si="14"/>
        <v>48</v>
      </c>
      <c r="X38" s="49">
        <v>3</v>
      </c>
      <c r="Y38" s="50">
        <f t="shared" si="15"/>
        <v>24</v>
      </c>
      <c r="Z38" s="51">
        <v>2</v>
      </c>
      <c r="AA38" s="52">
        <f t="shared" si="16"/>
        <v>16</v>
      </c>
      <c r="AB38" s="36">
        <v>7</v>
      </c>
      <c r="AC38" s="36">
        <v>61.3</v>
      </c>
      <c r="AD38" s="29">
        <f t="shared" si="17"/>
        <v>526.21999999999991</v>
      </c>
    </row>
    <row r="39" spans="1:30" ht="20.25" customHeight="1" x14ac:dyDescent="0.25">
      <c r="A39" s="17">
        <f t="shared" si="0"/>
        <v>46131</v>
      </c>
      <c r="B39" s="18">
        <f t="shared" si="1"/>
        <v>5</v>
      </c>
      <c r="C39" s="18" t="str">
        <f t="shared" si="2"/>
        <v>Apr 2026</v>
      </c>
      <c r="D39" s="37">
        <v>46135</v>
      </c>
      <c r="E39" s="17" t="str">
        <f t="shared" si="3"/>
        <v>Thursday</v>
      </c>
      <c r="F39" s="38">
        <v>19</v>
      </c>
      <c r="G39" s="39">
        <f t="shared" si="4"/>
        <v>152</v>
      </c>
      <c r="H39" s="38">
        <v>11.07</v>
      </c>
      <c r="I39" s="38">
        <f t="shared" si="5"/>
        <v>163.07</v>
      </c>
      <c r="J39" s="40">
        <v>12</v>
      </c>
      <c r="K39" s="41">
        <f t="shared" si="6"/>
        <v>96</v>
      </c>
      <c r="L39" s="40">
        <v>15.02</v>
      </c>
      <c r="M39" s="40">
        <f t="shared" si="7"/>
        <v>111.02</v>
      </c>
      <c r="N39" s="42">
        <v>17</v>
      </c>
      <c r="O39" s="43">
        <f t="shared" si="8"/>
        <v>136</v>
      </c>
      <c r="P39" s="42">
        <v>15.03</v>
      </c>
      <c r="Q39" s="42">
        <f t="shared" si="9"/>
        <v>151.03</v>
      </c>
      <c r="R39" s="44">
        <f t="shared" si="10"/>
        <v>48</v>
      </c>
      <c r="S39" s="45">
        <f t="shared" si="11"/>
        <v>384</v>
      </c>
      <c r="T39" s="44">
        <f t="shared" si="12"/>
        <v>425.11999999999995</v>
      </c>
      <c r="U39" s="46">
        <f t="shared" si="13"/>
        <v>41.119999999999948</v>
      </c>
      <c r="V39" s="47"/>
      <c r="W39" s="48">
        <f t="shared" si="14"/>
        <v>0</v>
      </c>
      <c r="X39" s="49"/>
      <c r="Y39" s="50">
        <f t="shared" si="15"/>
        <v>0</v>
      </c>
      <c r="Z39" s="51"/>
      <c r="AA39" s="52">
        <f t="shared" si="16"/>
        <v>0</v>
      </c>
      <c r="AB39" s="36">
        <v>11</v>
      </c>
      <c r="AC39" s="36">
        <v>100.3</v>
      </c>
      <c r="AD39" s="29">
        <f t="shared" si="17"/>
        <v>525.41999999999996</v>
      </c>
    </row>
    <row r="40" spans="1:30" ht="20.25" customHeight="1" x14ac:dyDescent="0.25">
      <c r="A40" s="17">
        <f t="shared" si="0"/>
        <v>46131</v>
      </c>
      <c r="B40" s="18">
        <f t="shared" si="1"/>
        <v>6</v>
      </c>
      <c r="C40" s="18" t="str">
        <f t="shared" si="2"/>
        <v>Apr 2026</v>
      </c>
      <c r="D40" s="37">
        <v>46136</v>
      </c>
      <c r="E40" s="17" t="str">
        <f t="shared" si="3"/>
        <v>Friday</v>
      </c>
      <c r="F40" s="38">
        <v>13</v>
      </c>
      <c r="G40" s="39">
        <f t="shared" si="4"/>
        <v>104</v>
      </c>
      <c r="H40" s="38">
        <v>10.5</v>
      </c>
      <c r="I40" s="38">
        <f t="shared" si="5"/>
        <v>114.5</v>
      </c>
      <c r="J40" s="40"/>
      <c r="K40" s="41">
        <f t="shared" si="6"/>
        <v>0</v>
      </c>
      <c r="L40" s="40"/>
      <c r="M40" s="40">
        <f t="shared" si="7"/>
        <v>0</v>
      </c>
      <c r="N40" s="42"/>
      <c r="O40" s="43">
        <f t="shared" si="8"/>
        <v>0</v>
      </c>
      <c r="P40" s="42"/>
      <c r="Q40" s="42">
        <f t="shared" si="9"/>
        <v>0</v>
      </c>
      <c r="R40" s="44">
        <f t="shared" si="10"/>
        <v>13</v>
      </c>
      <c r="S40" s="45">
        <f t="shared" si="11"/>
        <v>104</v>
      </c>
      <c r="T40" s="44">
        <f t="shared" si="12"/>
        <v>114.5</v>
      </c>
      <c r="U40" s="46">
        <f t="shared" si="13"/>
        <v>10.5</v>
      </c>
      <c r="V40" s="47"/>
      <c r="W40" s="48">
        <f t="shared" si="14"/>
        <v>0</v>
      </c>
      <c r="X40" s="49"/>
      <c r="Y40" s="50">
        <f t="shared" si="15"/>
        <v>0</v>
      </c>
      <c r="Z40" s="51"/>
      <c r="AA40" s="52">
        <f t="shared" si="16"/>
        <v>0</v>
      </c>
      <c r="AB40" s="36">
        <v>3</v>
      </c>
      <c r="AC40" s="36">
        <v>24</v>
      </c>
      <c r="AD40" s="29">
        <f t="shared" si="17"/>
        <v>138.5</v>
      </c>
    </row>
    <row r="41" spans="1:30" ht="20.25" customHeight="1" x14ac:dyDescent="0.25">
      <c r="A41" s="17">
        <f t="shared" si="0"/>
        <v>46131</v>
      </c>
      <c r="B41" s="18">
        <f t="shared" si="1"/>
        <v>7</v>
      </c>
      <c r="C41" s="18" t="str">
        <f t="shared" si="2"/>
        <v>Apr 2026</v>
      </c>
      <c r="D41" s="37">
        <v>46137</v>
      </c>
      <c r="E41" s="17" t="str">
        <f t="shared" si="3"/>
        <v>Saturday</v>
      </c>
      <c r="F41" s="38">
        <v>17</v>
      </c>
      <c r="G41" s="39">
        <f t="shared" si="4"/>
        <v>136</v>
      </c>
      <c r="H41" s="38">
        <v>16.399999999999999</v>
      </c>
      <c r="I41" s="38">
        <f t="shared" si="5"/>
        <v>152.4</v>
      </c>
      <c r="J41" s="40">
        <v>12</v>
      </c>
      <c r="K41" s="41">
        <f t="shared" si="6"/>
        <v>96</v>
      </c>
      <c r="L41" s="40">
        <v>13.52</v>
      </c>
      <c r="M41" s="40">
        <f t="shared" si="7"/>
        <v>109.52</v>
      </c>
      <c r="N41" s="42">
        <v>18</v>
      </c>
      <c r="O41" s="43">
        <f t="shared" si="8"/>
        <v>144</v>
      </c>
      <c r="P41" s="42">
        <v>21.58</v>
      </c>
      <c r="Q41" s="42">
        <f t="shared" si="9"/>
        <v>165.57999999999998</v>
      </c>
      <c r="R41" s="44">
        <f t="shared" si="10"/>
        <v>47</v>
      </c>
      <c r="S41" s="45">
        <f t="shared" si="11"/>
        <v>376</v>
      </c>
      <c r="T41" s="44">
        <f t="shared" si="12"/>
        <v>427.5</v>
      </c>
      <c r="U41" s="46">
        <f t="shared" si="13"/>
        <v>51.5</v>
      </c>
      <c r="V41" s="47">
        <v>0</v>
      </c>
      <c r="W41" s="48">
        <f t="shared" si="14"/>
        <v>0</v>
      </c>
      <c r="X41" s="49">
        <v>1</v>
      </c>
      <c r="Y41" s="50">
        <f t="shared" si="15"/>
        <v>8</v>
      </c>
      <c r="Z41" s="51">
        <v>0</v>
      </c>
      <c r="AA41" s="52">
        <f t="shared" si="16"/>
        <v>0</v>
      </c>
      <c r="AB41" s="36">
        <v>20</v>
      </c>
      <c r="AC41" s="36">
        <v>177</v>
      </c>
      <c r="AD41" s="29">
        <f t="shared" si="17"/>
        <v>612.5</v>
      </c>
    </row>
    <row r="42" spans="1:30" ht="20.25" customHeight="1" x14ac:dyDescent="0.25">
      <c r="A42" s="17">
        <f t="shared" si="0"/>
        <v>46138</v>
      </c>
      <c r="B42" s="18">
        <f t="shared" si="1"/>
        <v>1</v>
      </c>
      <c r="C42" s="18" t="str">
        <f t="shared" si="2"/>
        <v>Apr 2026</v>
      </c>
      <c r="D42" s="37">
        <v>46138</v>
      </c>
      <c r="E42" s="17" t="str">
        <f t="shared" si="3"/>
        <v>Sunday</v>
      </c>
      <c r="F42" s="38">
        <v>17</v>
      </c>
      <c r="G42" s="39">
        <f t="shared" si="4"/>
        <v>136</v>
      </c>
      <c r="H42" s="38">
        <v>2.59</v>
      </c>
      <c r="I42" s="38">
        <f t="shared" si="5"/>
        <v>138.59</v>
      </c>
      <c r="J42" s="40">
        <v>13</v>
      </c>
      <c r="K42" s="41">
        <f t="shared" si="6"/>
        <v>104</v>
      </c>
      <c r="L42" s="40">
        <v>2.16</v>
      </c>
      <c r="M42" s="40">
        <f t="shared" si="7"/>
        <v>106.16</v>
      </c>
      <c r="N42" s="42">
        <v>15</v>
      </c>
      <c r="O42" s="43">
        <f t="shared" si="8"/>
        <v>120</v>
      </c>
      <c r="P42" s="42">
        <v>-2.19</v>
      </c>
      <c r="Q42" s="42">
        <f t="shared" si="9"/>
        <v>117.81</v>
      </c>
      <c r="R42" s="44">
        <f t="shared" si="10"/>
        <v>45</v>
      </c>
      <c r="S42" s="45">
        <f t="shared" si="11"/>
        <v>360</v>
      </c>
      <c r="T42" s="44">
        <f t="shared" si="12"/>
        <v>362.56</v>
      </c>
      <c r="U42" s="46">
        <f t="shared" si="13"/>
        <v>2.5600000000000023</v>
      </c>
      <c r="V42" s="47">
        <v>5</v>
      </c>
      <c r="W42" s="48">
        <f t="shared" si="14"/>
        <v>40</v>
      </c>
      <c r="X42" s="49">
        <v>2</v>
      </c>
      <c r="Y42" s="50">
        <f t="shared" si="15"/>
        <v>16</v>
      </c>
      <c r="Z42" s="51">
        <v>0</v>
      </c>
      <c r="AA42" s="52">
        <f t="shared" si="16"/>
        <v>0</v>
      </c>
      <c r="AB42" s="36">
        <v>10</v>
      </c>
      <c r="AC42" s="36">
        <v>91</v>
      </c>
      <c r="AD42" s="29">
        <f t="shared" si="17"/>
        <v>509.56</v>
      </c>
    </row>
    <row r="43" spans="1:30" ht="20.25" customHeight="1" x14ac:dyDescent="0.25">
      <c r="A43" s="17">
        <f t="shared" si="0"/>
        <v>46138</v>
      </c>
      <c r="B43" s="18">
        <f t="shared" si="1"/>
        <v>2</v>
      </c>
      <c r="C43" s="18" t="str">
        <f t="shared" si="2"/>
        <v>Apr 2026</v>
      </c>
      <c r="D43" s="37">
        <v>46139</v>
      </c>
      <c r="E43" s="17" t="str">
        <f t="shared" si="3"/>
        <v>Monday</v>
      </c>
      <c r="F43" s="38">
        <v>18</v>
      </c>
      <c r="G43" s="39">
        <f t="shared" si="4"/>
        <v>144</v>
      </c>
      <c r="H43" s="38">
        <v>21.49</v>
      </c>
      <c r="I43" s="38">
        <f t="shared" si="5"/>
        <v>165.49</v>
      </c>
      <c r="J43" s="40">
        <v>12</v>
      </c>
      <c r="K43" s="41">
        <f t="shared" si="6"/>
        <v>96</v>
      </c>
      <c r="L43" s="40">
        <v>5.86</v>
      </c>
      <c r="M43" s="40">
        <f t="shared" si="7"/>
        <v>101.86</v>
      </c>
      <c r="N43" s="42">
        <v>13</v>
      </c>
      <c r="O43" s="43">
        <f t="shared" si="8"/>
        <v>104</v>
      </c>
      <c r="P43" s="42">
        <v>3.45</v>
      </c>
      <c r="Q43" s="42">
        <f t="shared" si="9"/>
        <v>107.45</v>
      </c>
      <c r="R43" s="44">
        <f t="shared" si="10"/>
        <v>43</v>
      </c>
      <c r="S43" s="45">
        <f t="shared" si="11"/>
        <v>344</v>
      </c>
      <c r="T43" s="44">
        <f t="shared" si="12"/>
        <v>374.8</v>
      </c>
      <c r="U43" s="46">
        <f t="shared" si="13"/>
        <v>30.800000000000011</v>
      </c>
      <c r="V43" s="47">
        <v>6</v>
      </c>
      <c r="W43" s="48">
        <f t="shared" si="14"/>
        <v>48</v>
      </c>
      <c r="X43" s="49">
        <v>5</v>
      </c>
      <c r="Y43" s="50">
        <f t="shared" si="15"/>
        <v>40</v>
      </c>
      <c r="Z43" s="51">
        <v>0</v>
      </c>
      <c r="AA43" s="52">
        <f t="shared" si="16"/>
        <v>0</v>
      </c>
      <c r="AB43" s="36">
        <v>8</v>
      </c>
      <c r="AC43" s="36">
        <v>67</v>
      </c>
      <c r="AD43" s="29">
        <f t="shared" si="17"/>
        <v>529.79999999999995</v>
      </c>
    </row>
    <row r="44" spans="1:30" ht="20.25" customHeight="1" x14ac:dyDescent="0.25">
      <c r="A44" s="17">
        <f t="shared" si="0"/>
        <v>46138</v>
      </c>
      <c r="B44" s="18">
        <f t="shared" si="1"/>
        <v>3</v>
      </c>
      <c r="C44" s="18" t="str">
        <f t="shared" si="2"/>
        <v>Apr 2026</v>
      </c>
      <c r="D44" s="37">
        <v>46140</v>
      </c>
      <c r="E44" s="17" t="str">
        <f t="shared" si="3"/>
        <v>Tuesday</v>
      </c>
      <c r="F44" s="38">
        <v>17</v>
      </c>
      <c r="G44" s="39">
        <f t="shared" si="4"/>
        <v>136</v>
      </c>
      <c r="H44" s="38">
        <v>14</v>
      </c>
      <c r="I44" s="38">
        <f t="shared" si="5"/>
        <v>150</v>
      </c>
      <c r="J44" s="40">
        <v>11</v>
      </c>
      <c r="K44" s="41">
        <f t="shared" si="6"/>
        <v>88</v>
      </c>
      <c r="L44" s="40">
        <v>5.08</v>
      </c>
      <c r="M44" s="40">
        <f t="shared" si="7"/>
        <v>93.08</v>
      </c>
      <c r="N44" s="42">
        <v>13</v>
      </c>
      <c r="O44" s="43">
        <f t="shared" si="8"/>
        <v>104</v>
      </c>
      <c r="P44" s="42">
        <v>8.4</v>
      </c>
      <c r="Q44" s="42">
        <f t="shared" si="9"/>
        <v>112.4</v>
      </c>
      <c r="R44" s="44">
        <f t="shared" si="10"/>
        <v>41</v>
      </c>
      <c r="S44" s="45">
        <f t="shared" si="11"/>
        <v>328</v>
      </c>
      <c r="T44" s="44">
        <f t="shared" si="12"/>
        <v>355.48</v>
      </c>
      <c r="U44" s="46">
        <f t="shared" si="13"/>
        <v>27.480000000000018</v>
      </c>
      <c r="V44" s="47"/>
      <c r="W44" s="48">
        <f t="shared" si="14"/>
        <v>0</v>
      </c>
      <c r="X44" s="49"/>
      <c r="Y44" s="50">
        <f t="shared" si="15"/>
        <v>0</v>
      </c>
      <c r="Z44" s="51"/>
      <c r="AA44" s="52">
        <f t="shared" si="16"/>
        <v>0</v>
      </c>
      <c r="AB44" s="36">
        <v>8</v>
      </c>
      <c r="AC44" s="36">
        <v>66.67</v>
      </c>
      <c r="AD44" s="29">
        <f t="shared" si="17"/>
        <v>422.15000000000003</v>
      </c>
    </row>
    <row r="45" spans="1:30" ht="20.25" customHeight="1" x14ac:dyDescent="0.25">
      <c r="A45" s="17">
        <f t="shared" si="0"/>
        <v>46138</v>
      </c>
      <c r="B45" s="18">
        <f t="shared" si="1"/>
        <v>4</v>
      </c>
      <c r="C45" s="18" t="str">
        <f t="shared" si="2"/>
        <v>Apr 2026</v>
      </c>
      <c r="D45" s="37">
        <v>46141</v>
      </c>
      <c r="E45" s="17" t="str">
        <f t="shared" si="3"/>
        <v>Wednesday</v>
      </c>
      <c r="F45" s="38">
        <v>21</v>
      </c>
      <c r="G45" s="39">
        <f t="shared" si="4"/>
        <v>168</v>
      </c>
      <c r="H45" s="38">
        <v>14.35</v>
      </c>
      <c r="I45" s="38">
        <f t="shared" si="5"/>
        <v>182.35</v>
      </c>
      <c r="J45" s="40">
        <v>13</v>
      </c>
      <c r="K45" s="41">
        <f t="shared" si="6"/>
        <v>104</v>
      </c>
      <c r="L45" s="40">
        <v>3.96</v>
      </c>
      <c r="M45" s="40">
        <f t="shared" si="7"/>
        <v>107.96</v>
      </c>
      <c r="N45" s="42">
        <v>14</v>
      </c>
      <c r="O45" s="43">
        <f t="shared" si="8"/>
        <v>112</v>
      </c>
      <c r="P45" s="42">
        <v>6.04</v>
      </c>
      <c r="Q45" s="42">
        <f t="shared" si="9"/>
        <v>118.04</v>
      </c>
      <c r="R45" s="44">
        <f t="shared" si="10"/>
        <v>48</v>
      </c>
      <c r="S45" s="45">
        <f t="shared" si="11"/>
        <v>384</v>
      </c>
      <c r="T45" s="44">
        <f t="shared" si="12"/>
        <v>408.35</v>
      </c>
      <c r="U45" s="46">
        <f t="shared" si="13"/>
        <v>24.350000000000023</v>
      </c>
      <c r="V45" s="47">
        <v>7</v>
      </c>
      <c r="W45" s="48">
        <f t="shared" si="14"/>
        <v>56</v>
      </c>
      <c r="X45" s="49">
        <v>3</v>
      </c>
      <c r="Y45" s="50">
        <f t="shared" si="15"/>
        <v>24</v>
      </c>
      <c r="Z45" s="51">
        <v>0</v>
      </c>
      <c r="AA45" s="52">
        <f t="shared" si="16"/>
        <v>0</v>
      </c>
      <c r="AB45" s="36">
        <v>6</v>
      </c>
      <c r="AC45" s="36">
        <v>49</v>
      </c>
      <c r="AD45" s="29">
        <f t="shared" si="17"/>
        <v>537.35</v>
      </c>
    </row>
    <row r="46" spans="1:30" ht="20.25" customHeight="1" x14ac:dyDescent="0.25">
      <c r="A46" s="17">
        <f t="shared" si="0"/>
        <v>46138</v>
      </c>
      <c r="B46" s="18">
        <f t="shared" si="1"/>
        <v>5</v>
      </c>
      <c r="C46" s="18" t="str">
        <f t="shared" si="2"/>
        <v>Apr 2026</v>
      </c>
      <c r="D46" s="37">
        <v>46142</v>
      </c>
      <c r="E46" s="17" t="str">
        <f t="shared" si="3"/>
        <v>Thursday</v>
      </c>
      <c r="F46" s="38">
        <v>21</v>
      </c>
      <c r="G46" s="39">
        <f t="shared" si="4"/>
        <v>168</v>
      </c>
      <c r="H46" s="38">
        <v>16.399999999999999</v>
      </c>
      <c r="I46" s="38">
        <f t="shared" si="5"/>
        <v>184.4</v>
      </c>
      <c r="J46" s="40">
        <v>12</v>
      </c>
      <c r="K46" s="41">
        <f t="shared" si="6"/>
        <v>96</v>
      </c>
      <c r="L46" s="40">
        <v>23.7</v>
      </c>
      <c r="M46" s="40">
        <f t="shared" si="7"/>
        <v>119.7</v>
      </c>
      <c r="N46" s="42">
        <v>15</v>
      </c>
      <c r="O46" s="43">
        <f t="shared" si="8"/>
        <v>120</v>
      </c>
      <c r="P46" s="42">
        <v>10.87</v>
      </c>
      <c r="Q46" s="42">
        <f t="shared" si="9"/>
        <v>130.87</v>
      </c>
      <c r="R46" s="44">
        <f t="shared" si="10"/>
        <v>48</v>
      </c>
      <c r="S46" s="45">
        <f t="shared" si="11"/>
        <v>384</v>
      </c>
      <c r="T46" s="44">
        <f t="shared" si="12"/>
        <v>434.96999999999997</v>
      </c>
      <c r="U46" s="46">
        <f t="shared" si="13"/>
        <v>50.96999999999997</v>
      </c>
      <c r="V46" s="47"/>
      <c r="W46" s="48">
        <f t="shared" si="14"/>
        <v>0</v>
      </c>
      <c r="X46" s="49"/>
      <c r="Y46" s="50">
        <f t="shared" si="15"/>
        <v>0</v>
      </c>
      <c r="Z46" s="51"/>
      <c r="AA46" s="52">
        <f t="shared" si="16"/>
        <v>0</v>
      </c>
      <c r="AB46" s="36">
        <v>10</v>
      </c>
      <c r="AC46" s="36">
        <v>89</v>
      </c>
      <c r="AD46" s="29">
        <f t="shared" si="17"/>
        <v>523.97</v>
      </c>
    </row>
    <row r="47" spans="1:30" ht="15" customHeight="1" x14ac:dyDescent="0.25">
      <c r="A47" s="17">
        <f t="shared" si="0"/>
        <v>46138</v>
      </c>
      <c r="B47" s="18">
        <f t="shared" si="1"/>
        <v>6</v>
      </c>
      <c r="C47" s="18" t="str">
        <f t="shared" si="2"/>
        <v>May 2026</v>
      </c>
      <c r="D47" s="37">
        <v>46143</v>
      </c>
      <c r="E47" s="17" t="str">
        <f t="shared" si="3"/>
        <v>Friday</v>
      </c>
      <c r="F47" s="38">
        <v>12</v>
      </c>
      <c r="G47" s="39">
        <f t="shared" si="4"/>
        <v>96</v>
      </c>
      <c r="H47" s="38">
        <v>6.03</v>
      </c>
      <c r="I47" s="38">
        <f t="shared" si="5"/>
        <v>102.03</v>
      </c>
      <c r="J47" s="40"/>
      <c r="K47" s="41">
        <f t="shared" si="6"/>
        <v>0</v>
      </c>
      <c r="L47" s="40"/>
      <c r="M47" s="40">
        <f t="shared" si="7"/>
        <v>0</v>
      </c>
      <c r="N47" s="42"/>
      <c r="O47" s="43">
        <f t="shared" si="8"/>
        <v>0</v>
      </c>
      <c r="P47" s="42"/>
      <c r="Q47" s="42">
        <f t="shared" si="9"/>
        <v>0</v>
      </c>
      <c r="R47" s="44">
        <f t="shared" si="10"/>
        <v>12</v>
      </c>
      <c r="S47" s="45">
        <f t="shared" si="11"/>
        <v>96</v>
      </c>
      <c r="T47" s="44">
        <f t="shared" si="12"/>
        <v>102.03</v>
      </c>
      <c r="U47" s="46">
        <f t="shared" si="13"/>
        <v>6.0300000000000011</v>
      </c>
      <c r="V47" s="47"/>
      <c r="W47" s="48">
        <f t="shared" si="14"/>
        <v>0</v>
      </c>
      <c r="X47" s="49"/>
      <c r="Y47" s="50">
        <f t="shared" si="15"/>
        <v>0</v>
      </c>
      <c r="Z47" s="51"/>
      <c r="AA47" s="52">
        <f t="shared" si="16"/>
        <v>0</v>
      </c>
      <c r="AB47" s="36">
        <v>5</v>
      </c>
      <c r="AC47" s="36">
        <v>40</v>
      </c>
      <c r="AD47" s="29">
        <f t="shared" si="17"/>
        <v>142.03</v>
      </c>
    </row>
    <row r="48" spans="1:30" ht="15" customHeight="1" x14ac:dyDescent="0.25">
      <c r="A48" s="17">
        <f t="shared" si="0"/>
        <v>46138</v>
      </c>
      <c r="B48" s="18">
        <f t="shared" si="1"/>
        <v>7</v>
      </c>
      <c r="C48" s="18" t="str">
        <f t="shared" si="2"/>
        <v>May 2026</v>
      </c>
      <c r="D48" s="37">
        <v>46144</v>
      </c>
      <c r="E48" s="17" t="str">
        <f t="shared" si="3"/>
        <v>Saturday</v>
      </c>
      <c r="F48" s="38">
        <v>17</v>
      </c>
      <c r="G48" s="39">
        <f t="shared" si="4"/>
        <v>136</v>
      </c>
      <c r="H48" s="38">
        <v>1.63</v>
      </c>
      <c r="I48" s="38">
        <f t="shared" si="5"/>
        <v>137.63</v>
      </c>
      <c r="J48" s="40">
        <v>14</v>
      </c>
      <c r="K48" s="41">
        <f t="shared" si="6"/>
        <v>112</v>
      </c>
      <c r="L48" s="40">
        <v>2.62</v>
      </c>
      <c r="M48" s="40">
        <f t="shared" si="7"/>
        <v>114.62</v>
      </c>
      <c r="N48" s="42">
        <v>14</v>
      </c>
      <c r="O48" s="43">
        <f t="shared" si="8"/>
        <v>112</v>
      </c>
      <c r="P48" s="42">
        <v>3.66</v>
      </c>
      <c r="Q48" s="42">
        <f t="shared" si="9"/>
        <v>115.66</v>
      </c>
      <c r="R48" s="44">
        <f t="shared" si="10"/>
        <v>45</v>
      </c>
      <c r="S48" s="45">
        <f t="shared" si="11"/>
        <v>360</v>
      </c>
      <c r="T48" s="44">
        <f t="shared" si="12"/>
        <v>367.91</v>
      </c>
      <c r="U48" s="46">
        <f t="shared" si="13"/>
        <v>7.910000000000025</v>
      </c>
      <c r="V48" s="47">
        <v>1</v>
      </c>
      <c r="W48" s="48">
        <f t="shared" si="14"/>
        <v>8</v>
      </c>
      <c r="X48" s="49">
        <v>3</v>
      </c>
      <c r="Y48" s="50">
        <f t="shared" si="15"/>
        <v>24</v>
      </c>
      <c r="Z48" s="51">
        <v>0</v>
      </c>
      <c r="AA48" s="52">
        <f t="shared" si="16"/>
        <v>0</v>
      </c>
      <c r="AB48" s="36">
        <v>13</v>
      </c>
      <c r="AC48" s="36">
        <v>97.5</v>
      </c>
      <c r="AD48" s="29">
        <f t="shared" si="17"/>
        <v>497.41</v>
      </c>
    </row>
    <row r="49" spans="1:30" ht="15" customHeight="1" x14ac:dyDescent="0.25">
      <c r="A49" s="17">
        <f t="shared" si="0"/>
        <v>46145</v>
      </c>
      <c r="B49" s="18">
        <f t="shared" si="1"/>
        <v>1</v>
      </c>
      <c r="C49" s="18" t="str">
        <f t="shared" si="2"/>
        <v>May 2026</v>
      </c>
      <c r="D49" s="37">
        <v>46145</v>
      </c>
      <c r="E49" s="17" t="str">
        <f t="shared" si="3"/>
        <v>Sunday</v>
      </c>
      <c r="F49" s="38">
        <v>16</v>
      </c>
      <c r="G49" s="39">
        <f t="shared" si="4"/>
        <v>128</v>
      </c>
      <c r="H49" s="38">
        <v>9.0299999999999994</v>
      </c>
      <c r="I49" s="38">
        <f t="shared" si="5"/>
        <v>137.03</v>
      </c>
      <c r="J49" s="40">
        <v>13</v>
      </c>
      <c r="K49" s="41">
        <f t="shared" si="6"/>
        <v>104</v>
      </c>
      <c r="L49" s="40">
        <v>5.72</v>
      </c>
      <c r="M49" s="40">
        <f t="shared" si="7"/>
        <v>109.72</v>
      </c>
      <c r="N49" s="42">
        <v>14</v>
      </c>
      <c r="O49" s="43">
        <f t="shared" si="8"/>
        <v>112</v>
      </c>
      <c r="P49" s="42">
        <v>-13.84</v>
      </c>
      <c r="Q49" s="42">
        <f t="shared" si="9"/>
        <v>98.16</v>
      </c>
      <c r="R49" s="44">
        <f t="shared" si="10"/>
        <v>43</v>
      </c>
      <c r="S49" s="45">
        <f t="shared" si="11"/>
        <v>344</v>
      </c>
      <c r="T49" s="44">
        <f t="shared" si="12"/>
        <v>344.91</v>
      </c>
      <c r="U49" s="46">
        <f t="shared" si="13"/>
        <v>0.91000000000002501</v>
      </c>
      <c r="V49" s="47">
        <v>4</v>
      </c>
      <c r="W49" s="48">
        <f t="shared" si="14"/>
        <v>32</v>
      </c>
      <c r="X49" s="49">
        <v>4</v>
      </c>
      <c r="Y49" s="50">
        <f t="shared" si="15"/>
        <v>32</v>
      </c>
      <c r="Z49" s="51">
        <v>0</v>
      </c>
      <c r="AA49" s="52">
        <f t="shared" si="16"/>
        <v>0</v>
      </c>
      <c r="AB49" s="36">
        <v>8</v>
      </c>
      <c r="AC49" s="36">
        <v>73</v>
      </c>
      <c r="AD49" s="29">
        <f t="shared" si="17"/>
        <v>481.91</v>
      </c>
    </row>
    <row r="50" spans="1:30" ht="15" customHeight="1" x14ac:dyDescent="0.25">
      <c r="A50" s="17">
        <f t="shared" si="0"/>
        <v>46145</v>
      </c>
      <c r="B50" s="18">
        <f t="shared" si="1"/>
        <v>2</v>
      </c>
      <c r="C50" s="18" t="str">
        <f t="shared" si="2"/>
        <v>May 2026</v>
      </c>
      <c r="D50" s="37">
        <v>46146</v>
      </c>
      <c r="E50" s="17" t="str">
        <f t="shared" si="3"/>
        <v>Monday</v>
      </c>
      <c r="F50" s="38">
        <v>18</v>
      </c>
      <c r="G50" s="39">
        <f t="shared" si="4"/>
        <v>144</v>
      </c>
      <c r="H50" s="38">
        <v>14.87</v>
      </c>
      <c r="I50" s="38">
        <f t="shared" si="5"/>
        <v>158.87</v>
      </c>
      <c r="J50" s="40">
        <v>11</v>
      </c>
      <c r="K50" s="41">
        <f t="shared" si="6"/>
        <v>88</v>
      </c>
      <c r="L50" s="40">
        <v>-0.56999999999999995</v>
      </c>
      <c r="M50" s="40">
        <f t="shared" si="7"/>
        <v>87.43</v>
      </c>
      <c r="N50" s="42">
        <v>13</v>
      </c>
      <c r="O50" s="43">
        <f t="shared" si="8"/>
        <v>104</v>
      </c>
      <c r="P50" s="42">
        <v>4.6500000000000004</v>
      </c>
      <c r="Q50" s="42">
        <f t="shared" si="9"/>
        <v>108.65</v>
      </c>
      <c r="R50" s="44">
        <f t="shared" si="10"/>
        <v>42</v>
      </c>
      <c r="S50" s="45">
        <f t="shared" si="11"/>
        <v>336</v>
      </c>
      <c r="T50" s="44">
        <f t="shared" si="12"/>
        <v>354.95</v>
      </c>
      <c r="U50" s="46">
        <f t="shared" si="13"/>
        <v>18.949999999999989</v>
      </c>
      <c r="V50" s="47">
        <v>5</v>
      </c>
      <c r="W50" s="48">
        <f t="shared" si="14"/>
        <v>40</v>
      </c>
      <c r="X50" s="49">
        <v>8</v>
      </c>
      <c r="Y50" s="50">
        <f t="shared" si="15"/>
        <v>64</v>
      </c>
      <c r="Z50" s="51">
        <v>0</v>
      </c>
      <c r="AA50" s="52">
        <f t="shared" si="16"/>
        <v>0</v>
      </c>
      <c r="AB50" s="36">
        <v>9</v>
      </c>
      <c r="AC50" s="36">
        <v>72.3</v>
      </c>
      <c r="AD50" s="29">
        <f t="shared" si="17"/>
        <v>531.25</v>
      </c>
    </row>
    <row r="51" spans="1:30" ht="15" customHeight="1" x14ac:dyDescent="0.25">
      <c r="A51" s="17">
        <f t="shared" si="0"/>
        <v>46145</v>
      </c>
      <c r="B51" s="18">
        <f t="shared" si="1"/>
        <v>3</v>
      </c>
      <c r="C51" s="18" t="str">
        <f t="shared" si="2"/>
        <v>May 2026</v>
      </c>
      <c r="D51" s="37">
        <v>46147</v>
      </c>
      <c r="E51" s="17" t="str">
        <f t="shared" si="3"/>
        <v>Tuesday</v>
      </c>
      <c r="F51" s="38">
        <v>20</v>
      </c>
      <c r="G51" s="39">
        <f t="shared" si="4"/>
        <v>160</v>
      </c>
      <c r="H51" s="38">
        <v>15.54</v>
      </c>
      <c r="I51" s="38">
        <f t="shared" si="5"/>
        <v>175.54</v>
      </c>
      <c r="J51" s="40">
        <v>12</v>
      </c>
      <c r="K51" s="41">
        <f t="shared" si="6"/>
        <v>96</v>
      </c>
      <c r="L51" s="40">
        <v>1.95</v>
      </c>
      <c r="M51" s="40">
        <f t="shared" si="7"/>
        <v>97.95</v>
      </c>
      <c r="N51" s="42">
        <v>13</v>
      </c>
      <c r="O51" s="43">
        <f t="shared" si="8"/>
        <v>104</v>
      </c>
      <c r="P51" s="42">
        <v>13.16</v>
      </c>
      <c r="Q51" s="42">
        <f t="shared" si="9"/>
        <v>117.16</v>
      </c>
      <c r="R51" s="44">
        <f t="shared" si="10"/>
        <v>45</v>
      </c>
      <c r="S51" s="45">
        <f t="shared" si="11"/>
        <v>360</v>
      </c>
      <c r="T51" s="44">
        <f t="shared" si="12"/>
        <v>390.65</v>
      </c>
      <c r="U51" s="46">
        <f t="shared" si="13"/>
        <v>30.649999999999977</v>
      </c>
      <c r="V51" s="47">
        <v>6</v>
      </c>
      <c r="W51" s="48">
        <f t="shared" si="14"/>
        <v>48</v>
      </c>
      <c r="X51" s="49">
        <v>4</v>
      </c>
      <c r="Y51" s="50">
        <f t="shared" si="15"/>
        <v>32</v>
      </c>
      <c r="Z51" s="51">
        <v>1</v>
      </c>
      <c r="AA51" s="52">
        <f t="shared" si="16"/>
        <v>8</v>
      </c>
      <c r="AB51" s="36">
        <v>10</v>
      </c>
      <c r="AC51" s="36">
        <v>84</v>
      </c>
      <c r="AD51" s="29">
        <f t="shared" si="17"/>
        <v>562.65</v>
      </c>
    </row>
    <row r="52" spans="1:30" ht="15" customHeight="1" x14ac:dyDescent="0.25">
      <c r="A52" s="17">
        <f t="shared" si="0"/>
        <v>46145</v>
      </c>
      <c r="B52" s="18">
        <f t="shared" si="1"/>
        <v>4</v>
      </c>
      <c r="C52" s="18" t="str">
        <f t="shared" si="2"/>
        <v>May 2026</v>
      </c>
      <c r="D52" s="37">
        <v>46148</v>
      </c>
      <c r="E52" s="17" t="str">
        <f t="shared" si="3"/>
        <v>Wednesday</v>
      </c>
      <c r="F52" s="38">
        <v>19</v>
      </c>
      <c r="G52" s="39">
        <f t="shared" si="4"/>
        <v>152</v>
      </c>
      <c r="H52" s="38">
        <v>1.5</v>
      </c>
      <c r="I52" s="38">
        <f t="shared" si="5"/>
        <v>153.5</v>
      </c>
      <c r="J52" s="40">
        <v>13</v>
      </c>
      <c r="K52" s="41">
        <f t="shared" si="6"/>
        <v>104</v>
      </c>
      <c r="L52" s="40">
        <v>11</v>
      </c>
      <c r="M52" s="40">
        <f t="shared" si="7"/>
        <v>115</v>
      </c>
      <c r="N52" s="42">
        <v>12</v>
      </c>
      <c r="O52" s="43">
        <f t="shared" si="8"/>
        <v>96</v>
      </c>
      <c r="P52" s="42">
        <v>11.95</v>
      </c>
      <c r="Q52" s="42">
        <f t="shared" si="9"/>
        <v>107.95</v>
      </c>
      <c r="R52" s="44">
        <f t="shared" si="10"/>
        <v>44</v>
      </c>
      <c r="S52" s="45">
        <f t="shared" si="11"/>
        <v>352</v>
      </c>
      <c r="T52" s="44">
        <f t="shared" si="12"/>
        <v>376.45</v>
      </c>
      <c r="U52" s="46">
        <f t="shared" si="13"/>
        <v>24.449999999999989</v>
      </c>
      <c r="V52" s="47"/>
      <c r="W52" s="48">
        <f t="shared" si="14"/>
        <v>0</v>
      </c>
      <c r="X52" s="49"/>
      <c r="Y52" s="50">
        <f t="shared" si="15"/>
        <v>0</v>
      </c>
      <c r="Z52" s="51"/>
      <c r="AA52" s="52">
        <f t="shared" si="16"/>
        <v>0</v>
      </c>
      <c r="AB52" s="36">
        <v>6</v>
      </c>
      <c r="AC52" s="36">
        <v>46.5</v>
      </c>
      <c r="AD52" s="29">
        <f t="shared" si="17"/>
        <v>422.95</v>
      </c>
    </row>
    <row r="53" spans="1:30" ht="15" customHeight="1" x14ac:dyDescent="0.25">
      <c r="A53" s="17">
        <f t="shared" si="0"/>
        <v>46145</v>
      </c>
      <c r="B53" s="18">
        <f t="shared" si="1"/>
        <v>5</v>
      </c>
      <c r="C53" s="18" t="str">
        <f t="shared" si="2"/>
        <v>May 2026</v>
      </c>
      <c r="D53" s="37">
        <v>46149</v>
      </c>
      <c r="E53" s="17" t="str">
        <f t="shared" si="3"/>
        <v>Thursday</v>
      </c>
      <c r="F53" s="38">
        <v>18</v>
      </c>
      <c r="G53" s="39">
        <f t="shared" si="4"/>
        <v>144</v>
      </c>
      <c r="H53" s="38">
        <v>17.12</v>
      </c>
      <c r="I53" s="38">
        <f t="shared" si="5"/>
        <v>161.12</v>
      </c>
      <c r="J53" s="40">
        <v>12</v>
      </c>
      <c r="K53" s="41">
        <f t="shared" si="6"/>
        <v>96</v>
      </c>
      <c r="L53" s="40">
        <v>23.22</v>
      </c>
      <c r="M53" s="40">
        <f t="shared" si="7"/>
        <v>119.22</v>
      </c>
      <c r="N53" s="42">
        <v>15</v>
      </c>
      <c r="O53" s="43">
        <f t="shared" si="8"/>
        <v>120</v>
      </c>
      <c r="P53" s="42">
        <v>17.55</v>
      </c>
      <c r="Q53" s="42">
        <f t="shared" si="9"/>
        <v>137.55000000000001</v>
      </c>
      <c r="R53" s="44">
        <f t="shared" si="10"/>
        <v>45</v>
      </c>
      <c r="S53" s="45">
        <f t="shared" si="11"/>
        <v>360</v>
      </c>
      <c r="T53" s="44">
        <f t="shared" si="12"/>
        <v>417.89000000000004</v>
      </c>
      <c r="U53" s="46">
        <f t="shared" si="13"/>
        <v>57.890000000000043</v>
      </c>
      <c r="V53" s="47"/>
      <c r="W53" s="48">
        <f t="shared" si="14"/>
        <v>0</v>
      </c>
      <c r="X53" s="49"/>
      <c r="Y53" s="50">
        <f t="shared" si="15"/>
        <v>0</v>
      </c>
      <c r="Z53" s="51"/>
      <c r="AA53" s="52">
        <f t="shared" si="16"/>
        <v>0</v>
      </c>
      <c r="AB53" s="36">
        <v>14</v>
      </c>
      <c r="AC53" s="36">
        <v>122.8</v>
      </c>
      <c r="AD53" s="29">
        <f t="shared" si="17"/>
        <v>540.69000000000005</v>
      </c>
    </row>
    <row r="54" spans="1:30" ht="15" customHeight="1" x14ac:dyDescent="0.25">
      <c r="A54" s="17">
        <f t="shared" si="0"/>
        <v>46145</v>
      </c>
      <c r="B54" s="18">
        <f t="shared" si="1"/>
        <v>6</v>
      </c>
      <c r="C54" s="18" t="str">
        <f t="shared" si="2"/>
        <v>May 2026</v>
      </c>
      <c r="D54" s="37">
        <v>46150</v>
      </c>
      <c r="E54" s="17" t="str">
        <f t="shared" si="3"/>
        <v>Friday</v>
      </c>
      <c r="F54" s="38">
        <v>13</v>
      </c>
      <c r="G54" s="39">
        <f t="shared" si="4"/>
        <v>104</v>
      </c>
      <c r="H54" s="38">
        <v>5.54</v>
      </c>
      <c r="I54" s="38">
        <f t="shared" si="5"/>
        <v>109.54</v>
      </c>
      <c r="J54" s="40"/>
      <c r="K54" s="41">
        <f t="shared" si="6"/>
        <v>0</v>
      </c>
      <c r="L54" s="40"/>
      <c r="M54" s="40">
        <f t="shared" si="7"/>
        <v>0</v>
      </c>
      <c r="N54" s="42"/>
      <c r="O54" s="43">
        <f t="shared" si="8"/>
        <v>0</v>
      </c>
      <c r="P54" s="42"/>
      <c r="Q54" s="42">
        <f t="shared" si="9"/>
        <v>0</v>
      </c>
      <c r="R54" s="44">
        <f t="shared" si="10"/>
        <v>13</v>
      </c>
      <c r="S54" s="45">
        <f t="shared" si="11"/>
        <v>104</v>
      </c>
      <c r="T54" s="44">
        <f t="shared" si="12"/>
        <v>109.54</v>
      </c>
      <c r="U54" s="46">
        <f t="shared" si="13"/>
        <v>5.5400000000000063</v>
      </c>
      <c r="V54" s="47">
        <v>1</v>
      </c>
      <c r="W54" s="48">
        <f t="shared" si="14"/>
        <v>8</v>
      </c>
      <c r="X54" s="49">
        <v>0</v>
      </c>
      <c r="Y54" s="50">
        <f t="shared" si="15"/>
        <v>0</v>
      </c>
      <c r="Z54" s="51">
        <v>0</v>
      </c>
      <c r="AA54" s="52">
        <f t="shared" si="16"/>
        <v>0</v>
      </c>
      <c r="AB54" s="36">
        <v>5</v>
      </c>
      <c r="AC54" s="36">
        <v>42</v>
      </c>
      <c r="AD54" s="29">
        <f t="shared" si="17"/>
        <v>159.54000000000002</v>
      </c>
    </row>
    <row r="55" spans="1:30" ht="15" customHeight="1" x14ac:dyDescent="0.25">
      <c r="A55" s="17">
        <f t="shared" si="0"/>
        <v>46145</v>
      </c>
      <c r="B55" s="18">
        <f t="shared" si="1"/>
        <v>7</v>
      </c>
      <c r="C55" s="18" t="str">
        <f t="shared" si="2"/>
        <v>May 2026</v>
      </c>
      <c r="D55" s="37">
        <v>46151</v>
      </c>
      <c r="E55" s="17" t="str">
        <f t="shared" si="3"/>
        <v>Saturday</v>
      </c>
      <c r="F55" s="38">
        <v>18</v>
      </c>
      <c r="G55" s="39">
        <f t="shared" si="4"/>
        <v>144</v>
      </c>
      <c r="H55" s="38">
        <v>14.89</v>
      </c>
      <c r="I55" s="38">
        <f t="shared" si="5"/>
        <v>158.88999999999999</v>
      </c>
      <c r="J55" s="40">
        <v>13</v>
      </c>
      <c r="K55" s="41">
        <f t="shared" si="6"/>
        <v>104</v>
      </c>
      <c r="L55" s="40">
        <v>11.97</v>
      </c>
      <c r="M55" s="40">
        <f t="shared" si="7"/>
        <v>115.97</v>
      </c>
      <c r="N55" s="42">
        <v>12</v>
      </c>
      <c r="O55" s="43">
        <f t="shared" si="8"/>
        <v>96</v>
      </c>
      <c r="P55" s="42">
        <v>32</v>
      </c>
      <c r="Q55" s="42">
        <f t="shared" si="9"/>
        <v>128</v>
      </c>
      <c r="R55" s="44">
        <f t="shared" si="10"/>
        <v>43</v>
      </c>
      <c r="S55" s="45">
        <f t="shared" si="11"/>
        <v>344</v>
      </c>
      <c r="T55" s="44">
        <f t="shared" si="12"/>
        <v>402.86</v>
      </c>
      <c r="U55" s="46">
        <f t="shared" si="13"/>
        <v>58.860000000000014</v>
      </c>
      <c r="V55" s="47">
        <v>1</v>
      </c>
      <c r="W55" s="48">
        <f t="shared" si="14"/>
        <v>8</v>
      </c>
      <c r="X55" s="49">
        <v>2</v>
      </c>
      <c r="Y55" s="50">
        <f t="shared" si="15"/>
        <v>16</v>
      </c>
      <c r="Z55" s="51">
        <v>3</v>
      </c>
      <c r="AA55" s="52">
        <f t="shared" si="16"/>
        <v>24</v>
      </c>
      <c r="AB55" s="36">
        <v>18</v>
      </c>
      <c r="AC55" s="36">
        <v>162</v>
      </c>
      <c r="AD55" s="29">
        <f t="shared" si="17"/>
        <v>612.86</v>
      </c>
    </row>
    <row r="56" spans="1:30" ht="15" customHeight="1" x14ac:dyDescent="0.25">
      <c r="A56" s="17">
        <f t="shared" si="0"/>
        <v>46152</v>
      </c>
      <c r="B56" s="18">
        <f t="shared" si="1"/>
        <v>1</v>
      </c>
      <c r="C56" s="18" t="str">
        <f t="shared" si="2"/>
        <v>May 2026</v>
      </c>
      <c r="D56" s="37">
        <v>46152</v>
      </c>
      <c r="E56" s="17" t="str">
        <f t="shared" si="3"/>
        <v>Sunday</v>
      </c>
      <c r="F56" s="38">
        <v>15</v>
      </c>
      <c r="G56" s="39">
        <f t="shared" si="4"/>
        <v>120</v>
      </c>
      <c r="H56" s="38">
        <v>20.91</v>
      </c>
      <c r="I56" s="38">
        <f t="shared" si="5"/>
        <v>140.91</v>
      </c>
      <c r="J56" s="40">
        <v>13</v>
      </c>
      <c r="K56" s="41">
        <f t="shared" si="6"/>
        <v>104</v>
      </c>
      <c r="L56" s="40">
        <v>7</v>
      </c>
      <c r="M56" s="40">
        <f t="shared" si="7"/>
        <v>111</v>
      </c>
      <c r="N56" s="42">
        <v>13</v>
      </c>
      <c r="O56" s="43">
        <f t="shared" si="8"/>
        <v>104</v>
      </c>
      <c r="P56" s="42">
        <v>1.7</v>
      </c>
      <c r="Q56" s="42">
        <f t="shared" si="9"/>
        <v>105.7</v>
      </c>
      <c r="R56" s="44">
        <f t="shared" si="10"/>
        <v>41</v>
      </c>
      <c r="S56" s="45">
        <f t="shared" si="11"/>
        <v>328</v>
      </c>
      <c r="T56" s="44">
        <f t="shared" si="12"/>
        <v>357.60999999999996</v>
      </c>
      <c r="U56" s="46">
        <f t="shared" si="13"/>
        <v>29.609999999999957</v>
      </c>
      <c r="V56" s="47">
        <v>4</v>
      </c>
      <c r="W56" s="48">
        <f t="shared" si="14"/>
        <v>32</v>
      </c>
      <c r="X56" s="49">
        <v>5</v>
      </c>
      <c r="Y56" s="50">
        <f t="shared" si="15"/>
        <v>40</v>
      </c>
      <c r="Z56" s="51">
        <v>1</v>
      </c>
      <c r="AA56" s="52">
        <f t="shared" si="16"/>
        <v>8</v>
      </c>
      <c r="AB56" s="36">
        <v>12</v>
      </c>
      <c r="AC56" s="36">
        <v>110.5</v>
      </c>
      <c r="AD56" s="29">
        <f t="shared" si="17"/>
        <v>548.1099999999999</v>
      </c>
    </row>
    <row r="57" spans="1:30" ht="15" customHeight="1" x14ac:dyDescent="0.25">
      <c r="A57" s="17">
        <f t="shared" si="0"/>
        <v>46152</v>
      </c>
      <c r="B57" s="18">
        <f t="shared" si="1"/>
        <v>2</v>
      </c>
      <c r="C57" s="18" t="str">
        <f t="shared" si="2"/>
        <v>May 2026</v>
      </c>
      <c r="D57" s="37">
        <v>46153</v>
      </c>
      <c r="E57" s="17" t="str">
        <f t="shared" si="3"/>
        <v>Monday</v>
      </c>
      <c r="F57" s="38">
        <v>19</v>
      </c>
      <c r="G57" s="39">
        <f t="shared" si="4"/>
        <v>152</v>
      </c>
      <c r="H57" s="38">
        <v>6.34</v>
      </c>
      <c r="I57" s="38">
        <f t="shared" si="5"/>
        <v>158.34</v>
      </c>
      <c r="J57" s="40">
        <v>14</v>
      </c>
      <c r="K57" s="41">
        <f t="shared" si="6"/>
        <v>112</v>
      </c>
      <c r="L57" s="40">
        <v>6.64</v>
      </c>
      <c r="M57" s="40">
        <f t="shared" si="7"/>
        <v>118.64</v>
      </c>
      <c r="N57" s="42">
        <v>13</v>
      </c>
      <c r="O57" s="43">
        <f t="shared" si="8"/>
        <v>104</v>
      </c>
      <c r="P57" s="42">
        <v>0</v>
      </c>
      <c r="Q57" s="42">
        <f t="shared" si="9"/>
        <v>104</v>
      </c>
      <c r="R57" s="44">
        <f t="shared" si="10"/>
        <v>46</v>
      </c>
      <c r="S57" s="45">
        <f t="shared" si="11"/>
        <v>368</v>
      </c>
      <c r="T57" s="44">
        <f t="shared" si="12"/>
        <v>380.98</v>
      </c>
      <c r="U57" s="46">
        <f t="shared" si="13"/>
        <v>12.980000000000018</v>
      </c>
      <c r="V57" s="47">
        <v>5</v>
      </c>
      <c r="W57" s="48">
        <f t="shared" si="14"/>
        <v>40</v>
      </c>
      <c r="X57" s="49">
        <v>5</v>
      </c>
      <c r="Y57" s="50">
        <f t="shared" si="15"/>
        <v>40</v>
      </c>
      <c r="Z57" s="51">
        <v>2</v>
      </c>
      <c r="AA57" s="52">
        <f t="shared" si="16"/>
        <v>16</v>
      </c>
      <c r="AB57" s="36">
        <v>10</v>
      </c>
      <c r="AC57" s="36">
        <v>84</v>
      </c>
      <c r="AD57" s="29">
        <f t="shared" si="17"/>
        <v>560.98</v>
      </c>
    </row>
    <row r="58" spans="1:30" ht="15" customHeight="1" x14ac:dyDescent="0.25">
      <c r="A58" s="17">
        <f t="shared" si="0"/>
        <v>46152</v>
      </c>
      <c r="B58" s="18">
        <f t="shared" si="1"/>
        <v>3</v>
      </c>
      <c r="C58" s="18" t="str">
        <f t="shared" si="2"/>
        <v>May 2026</v>
      </c>
      <c r="D58" s="37">
        <v>46154</v>
      </c>
      <c r="E58" s="17" t="str">
        <f t="shared" si="3"/>
        <v>Tuesday</v>
      </c>
      <c r="F58" s="38">
        <v>16</v>
      </c>
      <c r="G58" s="39">
        <f t="shared" si="4"/>
        <v>128</v>
      </c>
      <c r="H58" s="38">
        <v>6.2</v>
      </c>
      <c r="I58" s="38">
        <f t="shared" si="5"/>
        <v>134.19999999999999</v>
      </c>
      <c r="J58" s="40">
        <v>13</v>
      </c>
      <c r="K58" s="41">
        <f t="shared" si="6"/>
        <v>104</v>
      </c>
      <c r="L58" s="40">
        <v>9.9499999999999993</v>
      </c>
      <c r="M58" s="40">
        <f t="shared" si="7"/>
        <v>113.95</v>
      </c>
      <c r="N58" s="42">
        <v>13</v>
      </c>
      <c r="O58" s="43">
        <f t="shared" si="8"/>
        <v>104</v>
      </c>
      <c r="P58" s="42">
        <v>9.25</v>
      </c>
      <c r="Q58" s="42">
        <f t="shared" si="9"/>
        <v>113.25</v>
      </c>
      <c r="R58" s="44">
        <f t="shared" si="10"/>
        <v>42</v>
      </c>
      <c r="S58" s="45">
        <f t="shared" si="11"/>
        <v>336</v>
      </c>
      <c r="T58" s="44">
        <f t="shared" si="12"/>
        <v>361.4</v>
      </c>
      <c r="U58" s="46">
        <f t="shared" si="13"/>
        <v>25.399999999999977</v>
      </c>
      <c r="V58" s="47"/>
      <c r="W58" s="48">
        <f t="shared" si="14"/>
        <v>0</v>
      </c>
      <c r="X58" s="49"/>
      <c r="Y58" s="50">
        <f t="shared" si="15"/>
        <v>0</v>
      </c>
      <c r="Z58" s="51"/>
      <c r="AA58" s="52">
        <f t="shared" si="16"/>
        <v>0</v>
      </c>
      <c r="AB58" s="36">
        <v>16</v>
      </c>
      <c r="AC58" s="36">
        <v>129.5</v>
      </c>
      <c r="AD58" s="29">
        <f t="shared" si="17"/>
        <v>490.9</v>
      </c>
    </row>
    <row r="59" spans="1:30" ht="15" customHeight="1" x14ac:dyDescent="0.25">
      <c r="A59" s="17">
        <f t="shared" si="0"/>
        <v>46152</v>
      </c>
      <c r="B59" s="18">
        <f t="shared" si="1"/>
        <v>4</v>
      </c>
      <c r="C59" s="18" t="str">
        <f t="shared" si="2"/>
        <v>May 2026</v>
      </c>
      <c r="D59" s="37">
        <v>46155</v>
      </c>
      <c r="E59" s="17" t="str">
        <f t="shared" si="3"/>
        <v>Wednesday</v>
      </c>
      <c r="F59" s="38">
        <v>15</v>
      </c>
      <c r="G59" s="39">
        <f t="shared" si="4"/>
        <v>120</v>
      </c>
      <c r="H59" s="38">
        <v>1.23</v>
      </c>
      <c r="I59" s="38">
        <f t="shared" si="5"/>
        <v>121.23</v>
      </c>
      <c r="J59" s="40">
        <v>13</v>
      </c>
      <c r="K59" s="41">
        <f t="shared" si="6"/>
        <v>104</v>
      </c>
      <c r="L59" s="40">
        <v>9.57</v>
      </c>
      <c r="M59" s="40">
        <f t="shared" si="7"/>
        <v>113.57</v>
      </c>
      <c r="N59" s="42">
        <v>14</v>
      </c>
      <c r="O59" s="43">
        <f t="shared" si="8"/>
        <v>112</v>
      </c>
      <c r="P59" s="42">
        <v>13.67</v>
      </c>
      <c r="Q59" s="42">
        <f t="shared" si="9"/>
        <v>125.67</v>
      </c>
      <c r="R59" s="44">
        <f t="shared" si="10"/>
        <v>42</v>
      </c>
      <c r="S59" s="45">
        <f t="shared" si="11"/>
        <v>336</v>
      </c>
      <c r="T59" s="44">
        <f t="shared" si="12"/>
        <v>360.47</v>
      </c>
      <c r="U59" s="46">
        <f t="shared" si="13"/>
        <v>24.470000000000027</v>
      </c>
      <c r="V59" s="47"/>
      <c r="W59" s="48">
        <f t="shared" si="14"/>
        <v>0</v>
      </c>
      <c r="X59" s="49"/>
      <c r="Y59" s="50">
        <f t="shared" si="15"/>
        <v>0</v>
      </c>
      <c r="Z59" s="51"/>
      <c r="AA59" s="52">
        <f t="shared" si="16"/>
        <v>0</v>
      </c>
      <c r="AB59" s="36">
        <v>14</v>
      </c>
      <c r="AC59" s="36">
        <v>112</v>
      </c>
      <c r="AD59" s="29">
        <f t="shared" si="17"/>
        <v>472.47</v>
      </c>
    </row>
    <row r="60" spans="1:30" ht="15" customHeight="1" x14ac:dyDescent="0.25">
      <c r="A60" s="17">
        <f t="shared" si="0"/>
        <v>46152</v>
      </c>
      <c r="B60" s="18">
        <f t="shared" si="1"/>
        <v>5</v>
      </c>
      <c r="C60" s="18" t="str">
        <f t="shared" si="2"/>
        <v>May 2026</v>
      </c>
      <c r="D60" s="37">
        <v>46156</v>
      </c>
      <c r="E60" s="17" t="str">
        <f t="shared" si="3"/>
        <v>Thursday</v>
      </c>
      <c r="F60" s="38">
        <v>17</v>
      </c>
      <c r="G60" s="39">
        <f t="shared" si="4"/>
        <v>136</v>
      </c>
      <c r="H60" s="38">
        <v>12.18</v>
      </c>
      <c r="I60" s="38">
        <f t="shared" si="5"/>
        <v>148.18</v>
      </c>
      <c r="J60" s="40">
        <v>13</v>
      </c>
      <c r="K60" s="41">
        <f t="shared" si="6"/>
        <v>104</v>
      </c>
      <c r="L60" s="40">
        <v>26.12</v>
      </c>
      <c r="M60" s="40">
        <f t="shared" si="7"/>
        <v>130.12</v>
      </c>
      <c r="N60" s="42">
        <v>16</v>
      </c>
      <c r="O60" s="43">
        <f t="shared" si="8"/>
        <v>128</v>
      </c>
      <c r="P60" s="42">
        <v>21.12</v>
      </c>
      <c r="Q60" s="42">
        <f t="shared" si="9"/>
        <v>149.12</v>
      </c>
      <c r="R60" s="44">
        <f t="shared" si="10"/>
        <v>46</v>
      </c>
      <c r="S60" s="45">
        <f t="shared" si="11"/>
        <v>368</v>
      </c>
      <c r="T60" s="44">
        <f t="shared" si="12"/>
        <v>427.42</v>
      </c>
      <c r="U60" s="46">
        <f t="shared" si="13"/>
        <v>59.420000000000016</v>
      </c>
      <c r="V60" s="47">
        <v>5</v>
      </c>
      <c r="W60" s="48">
        <f t="shared" si="14"/>
        <v>40</v>
      </c>
      <c r="X60" s="49">
        <v>6</v>
      </c>
      <c r="Y60" s="50">
        <f t="shared" si="15"/>
        <v>48</v>
      </c>
      <c r="Z60" s="51">
        <v>3</v>
      </c>
      <c r="AA60" s="52">
        <f t="shared" si="16"/>
        <v>24</v>
      </c>
      <c r="AB60" s="36">
        <v>20</v>
      </c>
      <c r="AC60" s="36">
        <v>164.92</v>
      </c>
      <c r="AD60" s="29">
        <f t="shared" si="17"/>
        <v>704.34</v>
      </c>
    </row>
    <row r="61" spans="1:30" ht="15" customHeight="1" x14ac:dyDescent="0.25">
      <c r="A61" s="17">
        <f t="shared" si="0"/>
        <v>46152</v>
      </c>
      <c r="B61" s="18">
        <f t="shared" si="1"/>
        <v>6</v>
      </c>
      <c r="C61" s="18" t="str">
        <f t="shared" si="2"/>
        <v>May 2026</v>
      </c>
      <c r="D61" s="37">
        <v>46157</v>
      </c>
      <c r="E61" s="17" t="str">
        <f t="shared" si="3"/>
        <v>Friday</v>
      </c>
      <c r="F61" s="38">
        <v>13</v>
      </c>
      <c r="G61" s="39">
        <f t="shared" si="4"/>
        <v>104</v>
      </c>
      <c r="H61" s="38">
        <v>25.43</v>
      </c>
      <c r="I61" s="38">
        <f t="shared" si="5"/>
        <v>129.43</v>
      </c>
      <c r="J61" s="40">
        <v>13</v>
      </c>
      <c r="K61" s="41">
        <f t="shared" si="6"/>
        <v>104</v>
      </c>
      <c r="L61" s="40">
        <v>41.27</v>
      </c>
      <c r="M61" s="40">
        <f t="shared" si="7"/>
        <v>145.27000000000001</v>
      </c>
      <c r="N61" s="42">
        <v>4</v>
      </c>
      <c r="O61" s="43">
        <f t="shared" si="8"/>
        <v>32</v>
      </c>
      <c r="P61" s="42">
        <v>6.1</v>
      </c>
      <c r="Q61" s="42">
        <f t="shared" si="9"/>
        <v>38.1</v>
      </c>
      <c r="R61" s="44">
        <f t="shared" si="10"/>
        <v>30</v>
      </c>
      <c r="S61" s="45">
        <f t="shared" si="11"/>
        <v>240</v>
      </c>
      <c r="T61" s="44">
        <f t="shared" si="12"/>
        <v>312.8</v>
      </c>
      <c r="U61" s="46">
        <f t="shared" si="13"/>
        <v>72.800000000000011</v>
      </c>
      <c r="V61" s="47"/>
      <c r="W61" s="48">
        <f t="shared" si="14"/>
        <v>0</v>
      </c>
      <c r="X61" s="49"/>
      <c r="Y61" s="50">
        <f t="shared" si="15"/>
        <v>0</v>
      </c>
      <c r="Z61" s="51"/>
      <c r="AA61" s="52">
        <f t="shared" si="16"/>
        <v>0</v>
      </c>
      <c r="AB61" s="36">
        <v>24</v>
      </c>
      <c r="AC61" s="36">
        <v>216</v>
      </c>
      <c r="AD61" s="29">
        <f t="shared" si="17"/>
        <v>528.79999999999995</v>
      </c>
    </row>
    <row r="62" spans="1:30" ht="15" customHeight="1" x14ac:dyDescent="0.25">
      <c r="A62" s="17">
        <f t="shared" si="0"/>
        <v>46152</v>
      </c>
      <c r="B62" s="18">
        <f t="shared" si="1"/>
        <v>7</v>
      </c>
      <c r="C62" s="18" t="str">
        <f t="shared" si="2"/>
        <v>May 2026</v>
      </c>
      <c r="D62" s="37">
        <v>46158</v>
      </c>
      <c r="E62" s="17" t="str">
        <f t="shared" si="3"/>
        <v>Saturday</v>
      </c>
      <c r="F62" s="38">
        <v>16</v>
      </c>
      <c r="G62" s="39">
        <f t="shared" si="4"/>
        <v>128</v>
      </c>
      <c r="H62" s="38">
        <v>27.12</v>
      </c>
      <c r="I62" s="38">
        <f t="shared" si="5"/>
        <v>155.12</v>
      </c>
      <c r="J62" s="40">
        <v>12</v>
      </c>
      <c r="K62" s="41">
        <f t="shared" si="6"/>
        <v>96</v>
      </c>
      <c r="L62" s="40">
        <v>24.5</v>
      </c>
      <c r="M62" s="40">
        <f t="shared" si="7"/>
        <v>120.5</v>
      </c>
      <c r="N62" s="42">
        <v>15</v>
      </c>
      <c r="O62" s="43">
        <f t="shared" si="8"/>
        <v>120</v>
      </c>
      <c r="P62" s="42">
        <v>17.78</v>
      </c>
      <c r="Q62" s="42">
        <f t="shared" si="9"/>
        <v>137.78</v>
      </c>
      <c r="R62" s="44">
        <f t="shared" si="10"/>
        <v>43</v>
      </c>
      <c r="S62" s="45">
        <f t="shared" si="11"/>
        <v>344</v>
      </c>
      <c r="T62" s="44">
        <f t="shared" si="12"/>
        <v>413.4</v>
      </c>
      <c r="U62" s="46">
        <f t="shared" si="13"/>
        <v>69.399999999999977</v>
      </c>
      <c r="V62" s="47"/>
      <c r="W62" s="48">
        <f t="shared" si="14"/>
        <v>0</v>
      </c>
      <c r="X62" s="49"/>
      <c r="Y62" s="50">
        <f t="shared" si="15"/>
        <v>0</v>
      </c>
      <c r="Z62" s="51"/>
      <c r="AA62" s="52">
        <f t="shared" si="16"/>
        <v>0</v>
      </c>
      <c r="AB62" s="36">
        <v>19</v>
      </c>
      <c r="AC62" s="36">
        <v>186.5</v>
      </c>
      <c r="AD62" s="29">
        <f t="shared" si="17"/>
        <v>599.9</v>
      </c>
    </row>
    <row r="63" spans="1:30" ht="15" customHeight="1" x14ac:dyDescent="0.25">
      <c r="A63" s="17">
        <f t="shared" si="0"/>
        <v>46159</v>
      </c>
      <c r="B63" s="18">
        <f t="shared" si="1"/>
        <v>1</v>
      </c>
      <c r="C63" s="18" t="str">
        <f t="shared" si="2"/>
        <v>May 2026</v>
      </c>
      <c r="D63" s="37">
        <v>46159</v>
      </c>
      <c r="E63" s="17" t="str">
        <f t="shared" si="3"/>
        <v>Sunday</v>
      </c>
      <c r="F63" s="38">
        <v>3</v>
      </c>
      <c r="G63" s="39">
        <f t="shared" si="4"/>
        <v>24</v>
      </c>
      <c r="H63" s="38">
        <v>10.65</v>
      </c>
      <c r="I63" s="38">
        <f t="shared" si="5"/>
        <v>34.65</v>
      </c>
      <c r="J63" s="40"/>
      <c r="K63" s="41">
        <f t="shared" si="6"/>
        <v>0</v>
      </c>
      <c r="L63" s="40"/>
      <c r="M63" s="40">
        <f t="shared" si="7"/>
        <v>0</v>
      </c>
      <c r="N63" s="42">
        <v>11</v>
      </c>
      <c r="O63" s="43">
        <f t="shared" si="8"/>
        <v>88</v>
      </c>
      <c r="P63" s="42">
        <v>-8.15</v>
      </c>
      <c r="Q63" s="42">
        <f t="shared" si="9"/>
        <v>79.849999999999994</v>
      </c>
      <c r="R63" s="44">
        <f t="shared" si="10"/>
        <v>14</v>
      </c>
      <c r="S63" s="45">
        <f t="shared" si="11"/>
        <v>112</v>
      </c>
      <c r="T63" s="44">
        <f t="shared" si="12"/>
        <v>114.5</v>
      </c>
      <c r="U63" s="46">
        <f t="shared" si="13"/>
        <v>2.5</v>
      </c>
      <c r="V63" s="47"/>
      <c r="W63" s="48">
        <f t="shared" si="14"/>
        <v>0</v>
      </c>
      <c r="X63" s="49"/>
      <c r="Y63" s="50">
        <f t="shared" si="15"/>
        <v>0</v>
      </c>
      <c r="Z63" s="51"/>
      <c r="AA63" s="52">
        <f t="shared" si="16"/>
        <v>0</v>
      </c>
      <c r="AB63" s="36">
        <v>8</v>
      </c>
      <c r="AC63" s="36">
        <v>61</v>
      </c>
      <c r="AD63" s="29">
        <f t="shared" si="17"/>
        <v>175.5</v>
      </c>
    </row>
    <row r="64" spans="1:30" ht="15" customHeight="1" x14ac:dyDescent="0.25">
      <c r="A64" s="17">
        <f t="shared" si="0"/>
        <v>46159</v>
      </c>
      <c r="B64" s="18">
        <f t="shared" si="1"/>
        <v>2</v>
      </c>
      <c r="C64" s="18" t="str">
        <f t="shared" si="2"/>
        <v>May 2026</v>
      </c>
      <c r="D64" s="37">
        <v>46160</v>
      </c>
      <c r="E64" s="17" t="str">
        <f t="shared" si="3"/>
        <v>Monday</v>
      </c>
      <c r="F64" s="38">
        <v>19</v>
      </c>
      <c r="G64" s="39">
        <f t="shared" si="4"/>
        <v>152</v>
      </c>
      <c r="H64" s="38">
        <v>24.77</v>
      </c>
      <c r="I64" s="38">
        <f t="shared" si="5"/>
        <v>176.77</v>
      </c>
      <c r="J64" s="40">
        <v>13</v>
      </c>
      <c r="K64" s="41">
        <f t="shared" si="6"/>
        <v>104</v>
      </c>
      <c r="L64" s="40">
        <v>8.4600000000000009</v>
      </c>
      <c r="M64" s="40">
        <f t="shared" si="7"/>
        <v>112.46000000000001</v>
      </c>
      <c r="N64" s="42">
        <v>13</v>
      </c>
      <c r="O64" s="43">
        <f t="shared" si="8"/>
        <v>104</v>
      </c>
      <c r="P64" s="42">
        <v>21</v>
      </c>
      <c r="Q64" s="42">
        <f t="shared" si="9"/>
        <v>125</v>
      </c>
      <c r="R64" s="44">
        <f t="shared" si="10"/>
        <v>45</v>
      </c>
      <c r="S64" s="45">
        <f t="shared" si="11"/>
        <v>360</v>
      </c>
      <c r="T64" s="44">
        <f t="shared" si="12"/>
        <v>414.22999999999996</v>
      </c>
      <c r="U64" s="46">
        <f t="shared" si="13"/>
        <v>54.229999999999961</v>
      </c>
      <c r="V64" s="47">
        <v>6</v>
      </c>
      <c r="W64" s="48">
        <f t="shared" si="14"/>
        <v>48</v>
      </c>
      <c r="X64" s="49">
        <v>4</v>
      </c>
      <c r="Y64" s="50">
        <f t="shared" si="15"/>
        <v>32</v>
      </c>
      <c r="Z64" s="51">
        <v>3</v>
      </c>
      <c r="AA64" s="52">
        <f t="shared" si="16"/>
        <v>24</v>
      </c>
      <c r="AB64" s="36">
        <v>8</v>
      </c>
      <c r="AC64" s="36">
        <v>77</v>
      </c>
      <c r="AD64" s="29">
        <f t="shared" si="17"/>
        <v>595.23</v>
      </c>
    </row>
    <row r="65" spans="1:30" ht="15" customHeight="1" x14ac:dyDescent="0.25">
      <c r="A65" s="17">
        <f t="shared" si="0"/>
        <v>46159</v>
      </c>
      <c r="B65" s="18">
        <f t="shared" si="1"/>
        <v>3</v>
      </c>
      <c r="C65" s="18" t="str">
        <f t="shared" si="2"/>
        <v>May 2026</v>
      </c>
      <c r="D65" s="37">
        <v>46161</v>
      </c>
      <c r="E65" s="17" t="str">
        <f t="shared" si="3"/>
        <v>Tuesday</v>
      </c>
      <c r="F65" s="38">
        <v>18</v>
      </c>
      <c r="G65" s="39">
        <f t="shared" si="4"/>
        <v>144</v>
      </c>
      <c r="H65" s="38">
        <v>21.8</v>
      </c>
      <c r="I65" s="38">
        <f t="shared" si="5"/>
        <v>165.8</v>
      </c>
      <c r="J65" s="40">
        <v>11</v>
      </c>
      <c r="K65" s="41">
        <f t="shared" si="6"/>
        <v>88</v>
      </c>
      <c r="L65" s="40">
        <v>8.59</v>
      </c>
      <c r="M65" s="40">
        <f t="shared" si="7"/>
        <v>96.59</v>
      </c>
      <c r="N65" s="42">
        <v>14</v>
      </c>
      <c r="O65" s="43">
        <f t="shared" si="8"/>
        <v>112</v>
      </c>
      <c r="P65" s="42">
        <v>0</v>
      </c>
      <c r="Q65" s="42">
        <f t="shared" si="9"/>
        <v>112</v>
      </c>
      <c r="R65" s="44">
        <f t="shared" si="10"/>
        <v>43</v>
      </c>
      <c r="S65" s="45">
        <f t="shared" si="11"/>
        <v>344</v>
      </c>
      <c r="T65" s="44">
        <f t="shared" si="12"/>
        <v>374.39</v>
      </c>
      <c r="U65" s="46">
        <f t="shared" si="13"/>
        <v>30.389999999999986</v>
      </c>
      <c r="V65" s="47">
        <v>7</v>
      </c>
      <c r="W65" s="48">
        <f t="shared" si="14"/>
        <v>56</v>
      </c>
      <c r="X65" s="49">
        <v>7</v>
      </c>
      <c r="Y65" s="50">
        <f t="shared" si="15"/>
        <v>56</v>
      </c>
      <c r="Z65" s="51">
        <v>3</v>
      </c>
      <c r="AA65" s="52">
        <f t="shared" si="16"/>
        <v>24</v>
      </c>
      <c r="AB65" s="36">
        <v>8</v>
      </c>
      <c r="AC65" s="36">
        <v>69</v>
      </c>
      <c r="AD65" s="29">
        <f t="shared" si="17"/>
        <v>579.39</v>
      </c>
    </row>
    <row r="66" spans="1:30" ht="15" customHeight="1" x14ac:dyDescent="0.25">
      <c r="A66" s="17">
        <f t="shared" ref="A66:A129" si="18">D66-WEEKDAY(D66,1)+1</f>
        <v>46159</v>
      </c>
      <c r="B66" s="18">
        <f t="shared" ref="B66:B129" si="19">WEEKDAY(D66,1)</f>
        <v>4</v>
      </c>
      <c r="C66" s="18" t="str">
        <f t="shared" ref="C66:C129" si="20">TEXT(D66,"mmm yyyy")</f>
        <v>May 2026</v>
      </c>
      <c r="D66" s="37">
        <v>46162</v>
      </c>
      <c r="E66" s="17" t="str">
        <f t="shared" ref="E66:E129" si="21">TEXT(D66,"dddd")</f>
        <v>Wednesday</v>
      </c>
      <c r="F66" s="38">
        <v>20</v>
      </c>
      <c r="G66" s="39">
        <f t="shared" ref="G66:G129" si="22">F66*8</f>
        <v>160</v>
      </c>
      <c r="H66" s="38">
        <v>12.23</v>
      </c>
      <c r="I66" s="38">
        <f t="shared" ref="I66:I129" si="23">SUM(H66,G66)</f>
        <v>172.23</v>
      </c>
      <c r="J66" s="40">
        <v>13</v>
      </c>
      <c r="K66" s="41">
        <f t="shared" ref="K66:K129" si="24">J66*8</f>
        <v>104</v>
      </c>
      <c r="L66" s="40">
        <v>3.05</v>
      </c>
      <c r="M66" s="40">
        <f t="shared" ref="M66:M129" si="25">SUM(K66,L66)</f>
        <v>107.05</v>
      </c>
      <c r="N66" s="42">
        <v>13</v>
      </c>
      <c r="O66" s="43">
        <f t="shared" ref="O66:O129" si="26">N66*8</f>
        <v>104</v>
      </c>
      <c r="P66" s="42">
        <v>7.87</v>
      </c>
      <c r="Q66" s="42">
        <f t="shared" ref="Q66:Q129" si="27">SUM(O66,P66)</f>
        <v>111.87</v>
      </c>
      <c r="R66" s="44">
        <f t="shared" ref="R66:R129" si="28">SUM(F66,J66,N66)</f>
        <v>46</v>
      </c>
      <c r="S66" s="45">
        <f t="shared" ref="S66:S129" si="29">R66*8</f>
        <v>368</v>
      </c>
      <c r="T66" s="44">
        <f t="shared" ref="T66:T129" si="30">SUM(G66,H66,K66,L66,O66,P66)</f>
        <v>391.15000000000003</v>
      </c>
      <c r="U66" s="46">
        <f t="shared" ref="U66:U129" si="31">T66-S66</f>
        <v>23.150000000000034</v>
      </c>
      <c r="V66" s="47">
        <v>7</v>
      </c>
      <c r="W66" s="48">
        <f t="shared" ref="W66:W129" si="32">V66*8</f>
        <v>56</v>
      </c>
      <c r="X66" s="49">
        <v>4</v>
      </c>
      <c r="Y66" s="50">
        <f t="shared" ref="Y66:Y129" si="33">X66*8</f>
        <v>32</v>
      </c>
      <c r="Z66" s="51">
        <v>4</v>
      </c>
      <c r="AA66" s="52">
        <f t="shared" ref="AA66:AA129" si="34">Z66*8</f>
        <v>32</v>
      </c>
      <c r="AB66" s="36">
        <v>6</v>
      </c>
      <c r="AC66" s="36">
        <v>51</v>
      </c>
      <c r="AD66" s="29">
        <f t="shared" ref="AD66:AD129" si="35">SUM(T66,AA66,Y66,W66,AC66)</f>
        <v>562.15000000000009</v>
      </c>
    </row>
    <row r="67" spans="1:30" ht="15" customHeight="1" x14ac:dyDescent="0.25">
      <c r="A67" s="17">
        <f t="shared" si="18"/>
        <v>46159</v>
      </c>
      <c r="B67" s="18">
        <f t="shared" si="19"/>
        <v>5</v>
      </c>
      <c r="C67" s="18" t="str">
        <f t="shared" si="20"/>
        <v>May 2026</v>
      </c>
      <c r="D67" s="37">
        <v>46163</v>
      </c>
      <c r="E67" s="17" t="str">
        <f t="shared" si="21"/>
        <v>Thursday</v>
      </c>
      <c r="F67" s="38">
        <v>19</v>
      </c>
      <c r="G67" s="39">
        <f t="shared" si="22"/>
        <v>152</v>
      </c>
      <c r="H67" s="38">
        <v>-2.6</v>
      </c>
      <c r="I67" s="38">
        <f t="shared" si="23"/>
        <v>149.4</v>
      </c>
      <c r="J67" s="40">
        <v>15</v>
      </c>
      <c r="K67" s="41">
        <f t="shared" si="24"/>
        <v>120</v>
      </c>
      <c r="L67" s="40">
        <v>26.83</v>
      </c>
      <c r="M67" s="40">
        <f t="shared" si="25"/>
        <v>146.82999999999998</v>
      </c>
      <c r="N67" s="42">
        <v>15</v>
      </c>
      <c r="O67" s="43">
        <f t="shared" si="26"/>
        <v>120</v>
      </c>
      <c r="P67" s="42">
        <v>19.77</v>
      </c>
      <c r="Q67" s="42">
        <f t="shared" si="27"/>
        <v>139.77000000000001</v>
      </c>
      <c r="R67" s="44">
        <f t="shared" si="28"/>
        <v>49</v>
      </c>
      <c r="S67" s="45">
        <f t="shared" si="29"/>
        <v>392</v>
      </c>
      <c r="T67" s="44">
        <f t="shared" si="30"/>
        <v>435.99999999999994</v>
      </c>
      <c r="U67" s="46">
        <f t="shared" si="31"/>
        <v>43.999999999999943</v>
      </c>
      <c r="V67" s="47"/>
      <c r="W67" s="48">
        <f t="shared" si="32"/>
        <v>0</v>
      </c>
      <c r="X67" s="49"/>
      <c r="Y67" s="50">
        <f t="shared" si="33"/>
        <v>0</v>
      </c>
      <c r="Z67" s="51"/>
      <c r="AA67" s="52">
        <f t="shared" si="34"/>
        <v>0</v>
      </c>
      <c r="AB67" s="36">
        <v>9</v>
      </c>
      <c r="AC67" s="36">
        <v>85</v>
      </c>
      <c r="AD67" s="29">
        <f t="shared" si="35"/>
        <v>521</v>
      </c>
    </row>
    <row r="68" spans="1:30" ht="15" customHeight="1" x14ac:dyDescent="0.25">
      <c r="A68" s="17">
        <f t="shared" si="18"/>
        <v>46159</v>
      </c>
      <c r="B68" s="18">
        <f t="shared" si="19"/>
        <v>6</v>
      </c>
      <c r="C68" s="18" t="str">
        <f t="shared" si="20"/>
        <v>May 2026</v>
      </c>
      <c r="D68" s="37">
        <v>46164</v>
      </c>
      <c r="E68" s="17" t="str">
        <f t="shared" si="21"/>
        <v>Friday</v>
      </c>
      <c r="F68" s="38">
        <v>15</v>
      </c>
      <c r="G68" s="39">
        <f t="shared" si="22"/>
        <v>120</v>
      </c>
      <c r="H68" s="38">
        <v>7.42</v>
      </c>
      <c r="I68" s="38">
        <f t="shared" si="23"/>
        <v>127.42</v>
      </c>
      <c r="J68" s="40"/>
      <c r="K68" s="41">
        <f t="shared" si="24"/>
        <v>0</v>
      </c>
      <c r="L68" s="40"/>
      <c r="M68" s="40">
        <f t="shared" si="25"/>
        <v>0</v>
      </c>
      <c r="N68" s="42"/>
      <c r="O68" s="43">
        <f t="shared" si="26"/>
        <v>0</v>
      </c>
      <c r="P68" s="42"/>
      <c r="Q68" s="42">
        <f t="shared" si="27"/>
        <v>0</v>
      </c>
      <c r="R68" s="44">
        <f t="shared" si="28"/>
        <v>15</v>
      </c>
      <c r="S68" s="45">
        <f t="shared" si="29"/>
        <v>120</v>
      </c>
      <c r="T68" s="44">
        <f t="shared" si="30"/>
        <v>127.42</v>
      </c>
      <c r="U68" s="46">
        <f t="shared" si="31"/>
        <v>7.4200000000000017</v>
      </c>
      <c r="V68" s="47"/>
      <c r="W68" s="48">
        <f t="shared" si="32"/>
        <v>0</v>
      </c>
      <c r="X68" s="49"/>
      <c r="Y68" s="50">
        <f t="shared" si="33"/>
        <v>0</v>
      </c>
      <c r="Z68" s="51"/>
      <c r="AA68" s="52">
        <f t="shared" si="34"/>
        <v>0</v>
      </c>
      <c r="AB68" s="36">
        <v>3</v>
      </c>
      <c r="AC68" s="36">
        <v>22.5</v>
      </c>
      <c r="AD68" s="29">
        <f t="shared" si="35"/>
        <v>149.92000000000002</v>
      </c>
    </row>
    <row r="69" spans="1:30" ht="15" customHeight="1" x14ac:dyDescent="0.25">
      <c r="A69" s="17">
        <f t="shared" si="18"/>
        <v>46159</v>
      </c>
      <c r="B69" s="18">
        <f t="shared" si="19"/>
        <v>7</v>
      </c>
      <c r="C69" s="18" t="str">
        <f t="shared" si="20"/>
        <v>May 2026</v>
      </c>
      <c r="D69" s="37">
        <v>46165</v>
      </c>
      <c r="E69" s="17" t="str">
        <f t="shared" si="21"/>
        <v>Saturday</v>
      </c>
      <c r="F69" s="38">
        <v>21</v>
      </c>
      <c r="G69" s="39">
        <f t="shared" si="22"/>
        <v>168</v>
      </c>
      <c r="H69" s="38">
        <v>17.579999999999998</v>
      </c>
      <c r="I69" s="38">
        <f t="shared" si="23"/>
        <v>185.57999999999998</v>
      </c>
      <c r="J69" s="40">
        <v>14</v>
      </c>
      <c r="K69" s="41">
        <f t="shared" si="24"/>
        <v>112</v>
      </c>
      <c r="L69" s="40">
        <v>14.71</v>
      </c>
      <c r="M69" s="40">
        <f t="shared" si="25"/>
        <v>126.71000000000001</v>
      </c>
      <c r="N69" s="42">
        <v>14</v>
      </c>
      <c r="O69" s="43">
        <f t="shared" si="26"/>
        <v>112</v>
      </c>
      <c r="P69" s="42">
        <v>14.36</v>
      </c>
      <c r="Q69" s="42">
        <f t="shared" si="27"/>
        <v>126.36</v>
      </c>
      <c r="R69" s="44">
        <f t="shared" si="28"/>
        <v>49</v>
      </c>
      <c r="S69" s="45">
        <f t="shared" si="29"/>
        <v>392</v>
      </c>
      <c r="T69" s="44">
        <f t="shared" si="30"/>
        <v>438.65</v>
      </c>
      <c r="U69" s="46">
        <f t="shared" si="31"/>
        <v>46.649999999999977</v>
      </c>
      <c r="V69" s="47">
        <v>3</v>
      </c>
      <c r="W69" s="48">
        <f t="shared" si="32"/>
        <v>24</v>
      </c>
      <c r="X69" s="49">
        <v>3</v>
      </c>
      <c r="Y69" s="50">
        <f t="shared" si="33"/>
        <v>24</v>
      </c>
      <c r="Z69" s="51">
        <v>0</v>
      </c>
      <c r="AA69" s="52">
        <f t="shared" si="34"/>
        <v>0</v>
      </c>
      <c r="AB69" s="36">
        <v>10</v>
      </c>
      <c r="AC69" s="36">
        <v>86</v>
      </c>
      <c r="AD69" s="29">
        <f t="shared" si="35"/>
        <v>572.65</v>
      </c>
    </row>
    <row r="70" spans="1:30" ht="15" customHeight="1" x14ac:dyDescent="0.25">
      <c r="A70" s="17">
        <f t="shared" si="18"/>
        <v>46166</v>
      </c>
      <c r="B70" s="18">
        <f t="shared" si="19"/>
        <v>1</v>
      </c>
      <c r="C70" s="18" t="str">
        <f t="shared" si="20"/>
        <v>May 2026</v>
      </c>
      <c r="D70" s="37">
        <v>46166</v>
      </c>
      <c r="E70" s="17" t="str">
        <f t="shared" si="21"/>
        <v>Sunday</v>
      </c>
      <c r="F70" s="38">
        <v>16</v>
      </c>
      <c r="G70" s="39">
        <f t="shared" si="22"/>
        <v>128</v>
      </c>
      <c r="H70" s="38">
        <v>11.06</v>
      </c>
      <c r="I70" s="38">
        <f t="shared" si="23"/>
        <v>139.06</v>
      </c>
      <c r="J70" s="40">
        <v>15</v>
      </c>
      <c r="K70" s="41">
        <f t="shared" si="24"/>
        <v>120</v>
      </c>
      <c r="L70" s="40">
        <v>12.84</v>
      </c>
      <c r="M70" s="40">
        <f t="shared" si="25"/>
        <v>132.84</v>
      </c>
      <c r="N70" s="42">
        <v>13</v>
      </c>
      <c r="O70" s="43">
        <f t="shared" si="26"/>
        <v>104</v>
      </c>
      <c r="P70" s="42">
        <v>10.5</v>
      </c>
      <c r="Q70" s="42">
        <f t="shared" si="27"/>
        <v>114.5</v>
      </c>
      <c r="R70" s="44">
        <f t="shared" si="28"/>
        <v>44</v>
      </c>
      <c r="S70" s="45">
        <f t="shared" si="29"/>
        <v>352</v>
      </c>
      <c r="T70" s="44">
        <f t="shared" si="30"/>
        <v>386.4</v>
      </c>
      <c r="U70" s="46">
        <f t="shared" si="31"/>
        <v>34.399999999999977</v>
      </c>
      <c r="V70" s="47">
        <v>3</v>
      </c>
      <c r="W70" s="48">
        <f t="shared" si="32"/>
        <v>24</v>
      </c>
      <c r="X70" s="49">
        <v>7</v>
      </c>
      <c r="Y70" s="50">
        <f t="shared" si="33"/>
        <v>56</v>
      </c>
      <c r="Z70" s="51">
        <v>0</v>
      </c>
      <c r="AA70" s="52">
        <f t="shared" si="34"/>
        <v>0</v>
      </c>
      <c r="AB70" s="36">
        <v>11</v>
      </c>
      <c r="AC70" s="36">
        <v>104</v>
      </c>
      <c r="AD70" s="29">
        <f t="shared" si="35"/>
        <v>570.4</v>
      </c>
    </row>
    <row r="71" spans="1:30" ht="15" customHeight="1" x14ac:dyDescent="0.25">
      <c r="A71" s="17">
        <f t="shared" si="18"/>
        <v>46166</v>
      </c>
      <c r="B71" s="18">
        <f t="shared" si="19"/>
        <v>2</v>
      </c>
      <c r="C71" s="18" t="str">
        <f t="shared" si="20"/>
        <v>May 2026</v>
      </c>
      <c r="D71" s="37">
        <v>46167</v>
      </c>
      <c r="E71" s="17" t="str">
        <f t="shared" si="21"/>
        <v>Monday</v>
      </c>
      <c r="F71" s="38">
        <v>22</v>
      </c>
      <c r="G71" s="39">
        <f t="shared" si="22"/>
        <v>176</v>
      </c>
      <c r="H71" s="38">
        <v>7.93</v>
      </c>
      <c r="I71" s="38">
        <f t="shared" si="23"/>
        <v>183.93</v>
      </c>
      <c r="J71" s="40">
        <v>14</v>
      </c>
      <c r="K71" s="41">
        <f t="shared" si="24"/>
        <v>112</v>
      </c>
      <c r="L71" s="40">
        <v>6.38</v>
      </c>
      <c r="M71" s="40">
        <f t="shared" si="25"/>
        <v>118.38</v>
      </c>
      <c r="N71" s="42">
        <v>12</v>
      </c>
      <c r="O71" s="43">
        <f t="shared" si="26"/>
        <v>96</v>
      </c>
      <c r="P71" s="42">
        <v>16.059999999999999</v>
      </c>
      <c r="Q71" s="42">
        <f t="shared" si="27"/>
        <v>112.06</v>
      </c>
      <c r="R71" s="44">
        <f t="shared" si="28"/>
        <v>48</v>
      </c>
      <c r="S71" s="45">
        <f t="shared" si="29"/>
        <v>384</v>
      </c>
      <c r="T71" s="44">
        <f t="shared" si="30"/>
        <v>414.37</v>
      </c>
      <c r="U71" s="46">
        <f t="shared" si="31"/>
        <v>30.370000000000005</v>
      </c>
      <c r="V71" s="47">
        <v>4</v>
      </c>
      <c r="W71" s="48">
        <f t="shared" si="32"/>
        <v>32</v>
      </c>
      <c r="X71" s="49">
        <v>5</v>
      </c>
      <c r="Y71" s="50">
        <f t="shared" si="33"/>
        <v>40</v>
      </c>
      <c r="Z71" s="51">
        <v>1</v>
      </c>
      <c r="AA71" s="52">
        <f t="shared" si="34"/>
        <v>8</v>
      </c>
      <c r="AB71" s="36">
        <v>8</v>
      </c>
      <c r="AC71" s="36">
        <v>64.25</v>
      </c>
      <c r="AD71" s="29">
        <f t="shared" si="35"/>
        <v>558.62</v>
      </c>
    </row>
    <row r="72" spans="1:30" ht="15" customHeight="1" x14ac:dyDescent="0.25">
      <c r="A72" s="17">
        <f t="shared" si="18"/>
        <v>46166</v>
      </c>
      <c r="B72" s="18">
        <f t="shared" si="19"/>
        <v>3</v>
      </c>
      <c r="C72" s="18" t="str">
        <f t="shared" si="20"/>
        <v>May 2026</v>
      </c>
      <c r="D72" s="37">
        <v>46168</v>
      </c>
      <c r="E72" s="17" t="str">
        <f t="shared" si="21"/>
        <v>Tuesday</v>
      </c>
      <c r="F72" s="38">
        <v>22</v>
      </c>
      <c r="G72" s="39">
        <f t="shared" si="22"/>
        <v>176</v>
      </c>
      <c r="H72" s="38">
        <v>20.88</v>
      </c>
      <c r="I72" s="38">
        <f t="shared" si="23"/>
        <v>196.88</v>
      </c>
      <c r="J72" s="40">
        <v>13</v>
      </c>
      <c r="K72" s="41">
        <f t="shared" si="24"/>
        <v>104</v>
      </c>
      <c r="L72" s="40">
        <v>7</v>
      </c>
      <c r="M72" s="40">
        <f t="shared" si="25"/>
        <v>111</v>
      </c>
      <c r="N72" s="42">
        <v>14</v>
      </c>
      <c r="O72" s="43">
        <f t="shared" si="26"/>
        <v>112</v>
      </c>
      <c r="P72" s="42">
        <v>6.6</v>
      </c>
      <c r="Q72" s="42">
        <f t="shared" si="27"/>
        <v>118.6</v>
      </c>
      <c r="R72" s="44">
        <f t="shared" si="28"/>
        <v>49</v>
      </c>
      <c r="S72" s="45">
        <f t="shared" si="29"/>
        <v>392</v>
      </c>
      <c r="T72" s="44">
        <f t="shared" si="30"/>
        <v>426.48</v>
      </c>
      <c r="U72" s="46">
        <f t="shared" si="31"/>
        <v>34.480000000000018</v>
      </c>
      <c r="V72" s="47">
        <v>6</v>
      </c>
      <c r="W72" s="48">
        <f t="shared" si="32"/>
        <v>48</v>
      </c>
      <c r="X72" s="49">
        <v>5</v>
      </c>
      <c r="Y72" s="50">
        <f t="shared" si="33"/>
        <v>40</v>
      </c>
      <c r="Z72" s="51">
        <v>1</v>
      </c>
      <c r="AA72" s="52">
        <f t="shared" si="34"/>
        <v>8</v>
      </c>
      <c r="AB72" s="36">
        <v>6</v>
      </c>
      <c r="AC72" s="36">
        <v>56</v>
      </c>
      <c r="AD72" s="29">
        <f t="shared" si="35"/>
        <v>578.48</v>
      </c>
    </row>
    <row r="73" spans="1:30" ht="15" customHeight="1" x14ac:dyDescent="0.25">
      <c r="A73" s="17">
        <f t="shared" si="18"/>
        <v>46166</v>
      </c>
      <c r="B73" s="18">
        <f t="shared" si="19"/>
        <v>4</v>
      </c>
      <c r="C73" s="18" t="str">
        <f t="shared" si="20"/>
        <v>May 2026</v>
      </c>
      <c r="D73" s="37">
        <v>46169</v>
      </c>
      <c r="E73" s="17" t="str">
        <f t="shared" si="21"/>
        <v>Wednesday</v>
      </c>
      <c r="F73" s="38">
        <v>21</v>
      </c>
      <c r="G73" s="39">
        <f t="shared" si="22"/>
        <v>168</v>
      </c>
      <c r="H73" s="38">
        <v>19.45</v>
      </c>
      <c r="I73" s="38">
        <f t="shared" si="23"/>
        <v>187.45</v>
      </c>
      <c r="J73" s="40">
        <v>13</v>
      </c>
      <c r="K73" s="41">
        <f t="shared" si="24"/>
        <v>104</v>
      </c>
      <c r="L73" s="40">
        <v>7</v>
      </c>
      <c r="M73" s="40">
        <f t="shared" si="25"/>
        <v>111</v>
      </c>
      <c r="N73" s="42">
        <v>13</v>
      </c>
      <c r="O73" s="43">
        <f t="shared" si="26"/>
        <v>104</v>
      </c>
      <c r="P73" s="42">
        <v>6.05</v>
      </c>
      <c r="Q73" s="42">
        <f t="shared" si="27"/>
        <v>110.05</v>
      </c>
      <c r="R73" s="44">
        <f t="shared" si="28"/>
        <v>47</v>
      </c>
      <c r="S73" s="45">
        <f t="shared" si="29"/>
        <v>376</v>
      </c>
      <c r="T73" s="44">
        <f t="shared" si="30"/>
        <v>408.5</v>
      </c>
      <c r="U73" s="46">
        <f t="shared" si="31"/>
        <v>32.5</v>
      </c>
      <c r="V73" s="47"/>
      <c r="W73" s="48">
        <f t="shared" si="32"/>
        <v>0</v>
      </c>
      <c r="X73" s="49"/>
      <c r="Y73" s="50">
        <f t="shared" si="33"/>
        <v>0</v>
      </c>
      <c r="Z73" s="51"/>
      <c r="AA73" s="52">
        <f t="shared" si="34"/>
        <v>0</v>
      </c>
      <c r="AB73" s="36">
        <v>8</v>
      </c>
      <c r="AC73" s="36">
        <v>70.849999999999994</v>
      </c>
      <c r="AD73" s="29">
        <f t="shared" si="35"/>
        <v>479.35</v>
      </c>
    </row>
    <row r="74" spans="1:30" ht="15" customHeight="1" x14ac:dyDescent="0.25">
      <c r="A74" s="17">
        <f t="shared" si="18"/>
        <v>46166</v>
      </c>
      <c r="B74" s="18">
        <f t="shared" si="19"/>
        <v>5</v>
      </c>
      <c r="C74" s="18" t="str">
        <f t="shared" si="20"/>
        <v>May 2026</v>
      </c>
      <c r="D74" s="37">
        <v>46170</v>
      </c>
      <c r="E74" s="17" t="str">
        <f t="shared" si="21"/>
        <v>Thursday</v>
      </c>
      <c r="F74" s="38">
        <v>21</v>
      </c>
      <c r="G74" s="39">
        <f t="shared" si="22"/>
        <v>168</v>
      </c>
      <c r="H74" s="38">
        <v>5.76</v>
      </c>
      <c r="I74" s="38">
        <f t="shared" si="23"/>
        <v>173.76</v>
      </c>
      <c r="J74" s="40">
        <v>14</v>
      </c>
      <c r="K74" s="41">
        <f t="shared" si="24"/>
        <v>112</v>
      </c>
      <c r="L74" s="40">
        <v>26.29</v>
      </c>
      <c r="M74" s="40">
        <f t="shared" si="25"/>
        <v>138.29</v>
      </c>
      <c r="N74" s="42">
        <v>16</v>
      </c>
      <c r="O74" s="43">
        <f t="shared" si="26"/>
        <v>128</v>
      </c>
      <c r="P74" s="42">
        <v>12.75</v>
      </c>
      <c r="Q74" s="42">
        <f t="shared" si="27"/>
        <v>140.75</v>
      </c>
      <c r="R74" s="44">
        <f t="shared" si="28"/>
        <v>51</v>
      </c>
      <c r="S74" s="45">
        <f t="shared" si="29"/>
        <v>408</v>
      </c>
      <c r="T74" s="44">
        <f t="shared" si="30"/>
        <v>452.8</v>
      </c>
      <c r="U74" s="46">
        <f t="shared" si="31"/>
        <v>44.800000000000011</v>
      </c>
      <c r="V74" s="47">
        <v>6</v>
      </c>
      <c r="W74" s="48">
        <f t="shared" si="32"/>
        <v>48</v>
      </c>
      <c r="X74" s="49">
        <v>4</v>
      </c>
      <c r="Y74" s="50">
        <f t="shared" si="33"/>
        <v>32</v>
      </c>
      <c r="Z74" s="51">
        <v>0</v>
      </c>
      <c r="AA74" s="52">
        <f t="shared" si="34"/>
        <v>0</v>
      </c>
      <c r="AB74" s="36">
        <v>11</v>
      </c>
      <c r="AC74" s="36">
        <v>103</v>
      </c>
      <c r="AD74" s="29">
        <f t="shared" si="35"/>
        <v>635.79999999999995</v>
      </c>
    </row>
    <row r="75" spans="1:30" ht="15" customHeight="1" x14ac:dyDescent="0.25">
      <c r="A75" s="17">
        <f t="shared" si="18"/>
        <v>46166</v>
      </c>
      <c r="B75" s="18">
        <f t="shared" si="19"/>
        <v>6</v>
      </c>
      <c r="C75" s="18" t="str">
        <f t="shared" si="20"/>
        <v>May 2026</v>
      </c>
      <c r="D75" s="37">
        <v>46171</v>
      </c>
      <c r="E75" s="17" t="str">
        <f t="shared" si="21"/>
        <v>Friday</v>
      </c>
      <c r="F75" s="38">
        <v>14</v>
      </c>
      <c r="G75" s="39">
        <f t="shared" si="22"/>
        <v>112</v>
      </c>
      <c r="H75" s="38">
        <v>13.02</v>
      </c>
      <c r="I75" s="38">
        <f t="shared" si="23"/>
        <v>125.02</v>
      </c>
      <c r="J75" s="40"/>
      <c r="K75" s="41">
        <f t="shared" si="24"/>
        <v>0</v>
      </c>
      <c r="L75" s="40"/>
      <c r="M75" s="40">
        <f t="shared" si="25"/>
        <v>0</v>
      </c>
      <c r="N75" s="42"/>
      <c r="O75" s="43">
        <f t="shared" si="26"/>
        <v>0</v>
      </c>
      <c r="P75" s="42"/>
      <c r="Q75" s="42">
        <f t="shared" si="27"/>
        <v>0</v>
      </c>
      <c r="R75" s="44">
        <f t="shared" si="28"/>
        <v>14</v>
      </c>
      <c r="S75" s="45">
        <f t="shared" si="29"/>
        <v>112</v>
      </c>
      <c r="T75" s="44">
        <f t="shared" si="30"/>
        <v>125.02</v>
      </c>
      <c r="U75" s="46">
        <f t="shared" si="31"/>
        <v>13.019999999999996</v>
      </c>
      <c r="V75" s="47"/>
      <c r="W75" s="48">
        <f t="shared" si="32"/>
        <v>0</v>
      </c>
      <c r="X75" s="49"/>
      <c r="Y75" s="50">
        <f t="shared" si="33"/>
        <v>0</v>
      </c>
      <c r="Z75" s="51"/>
      <c r="AA75" s="52">
        <f t="shared" si="34"/>
        <v>0</v>
      </c>
      <c r="AB75" s="36">
        <v>5</v>
      </c>
      <c r="AC75" s="36">
        <v>30.9</v>
      </c>
      <c r="AD75" s="29">
        <f t="shared" si="35"/>
        <v>155.91999999999999</v>
      </c>
    </row>
    <row r="76" spans="1:30" ht="15" customHeight="1" x14ac:dyDescent="0.25">
      <c r="A76" s="17">
        <f t="shared" si="18"/>
        <v>46166</v>
      </c>
      <c r="B76" s="18">
        <f t="shared" si="19"/>
        <v>7</v>
      </c>
      <c r="C76" s="18" t="str">
        <f t="shared" si="20"/>
        <v>May 2026</v>
      </c>
      <c r="D76" s="37">
        <v>46172</v>
      </c>
      <c r="E76" s="17" t="str">
        <f t="shared" si="21"/>
        <v>Saturday</v>
      </c>
      <c r="F76" s="38">
        <v>17</v>
      </c>
      <c r="G76" s="39">
        <f t="shared" si="22"/>
        <v>136</v>
      </c>
      <c r="H76" s="38">
        <v>16.239999999999998</v>
      </c>
      <c r="I76" s="38">
        <f t="shared" si="23"/>
        <v>152.24</v>
      </c>
      <c r="J76" s="40">
        <v>13</v>
      </c>
      <c r="K76" s="41">
        <f t="shared" si="24"/>
        <v>104</v>
      </c>
      <c r="L76" s="40">
        <v>23.27</v>
      </c>
      <c r="M76" s="40">
        <f t="shared" si="25"/>
        <v>127.27</v>
      </c>
      <c r="N76" s="42">
        <v>16</v>
      </c>
      <c r="O76" s="43">
        <f t="shared" si="26"/>
        <v>128</v>
      </c>
      <c r="P76" s="42">
        <v>10.6</v>
      </c>
      <c r="Q76" s="42">
        <f t="shared" si="27"/>
        <v>138.6</v>
      </c>
      <c r="R76" s="44">
        <f t="shared" si="28"/>
        <v>46</v>
      </c>
      <c r="S76" s="45">
        <f t="shared" si="29"/>
        <v>368</v>
      </c>
      <c r="T76" s="44">
        <f t="shared" si="30"/>
        <v>418.11</v>
      </c>
      <c r="U76" s="46">
        <f t="shared" si="31"/>
        <v>50.110000000000014</v>
      </c>
      <c r="V76" s="47">
        <v>3</v>
      </c>
      <c r="W76" s="48">
        <f t="shared" si="32"/>
        <v>24</v>
      </c>
      <c r="X76" s="49">
        <v>4</v>
      </c>
      <c r="Y76" s="50">
        <f t="shared" si="33"/>
        <v>32</v>
      </c>
      <c r="Z76" s="51">
        <v>0</v>
      </c>
      <c r="AA76" s="52">
        <f t="shared" si="34"/>
        <v>0</v>
      </c>
      <c r="AB76" s="36">
        <v>17</v>
      </c>
      <c r="AC76" s="36">
        <v>155.25</v>
      </c>
      <c r="AD76" s="29">
        <f t="shared" si="35"/>
        <v>629.36</v>
      </c>
    </row>
    <row r="77" spans="1:30" ht="15" customHeight="1" x14ac:dyDescent="0.25">
      <c r="A77" s="17">
        <f t="shared" si="18"/>
        <v>46173</v>
      </c>
      <c r="B77" s="18">
        <f t="shared" si="19"/>
        <v>1</v>
      </c>
      <c r="C77" s="18" t="str">
        <f t="shared" si="20"/>
        <v>May 2026</v>
      </c>
      <c r="D77" s="37">
        <v>46173</v>
      </c>
      <c r="E77" s="17" t="str">
        <f t="shared" si="21"/>
        <v>Sunday</v>
      </c>
      <c r="F77" s="38">
        <v>18</v>
      </c>
      <c r="G77" s="39">
        <f t="shared" si="22"/>
        <v>144</v>
      </c>
      <c r="H77" s="38">
        <v>16.670000000000002</v>
      </c>
      <c r="I77" s="38">
        <f t="shared" si="23"/>
        <v>160.67000000000002</v>
      </c>
      <c r="J77" s="40">
        <v>11</v>
      </c>
      <c r="K77" s="41">
        <f t="shared" si="24"/>
        <v>88</v>
      </c>
      <c r="L77" s="40">
        <v>7.75</v>
      </c>
      <c r="M77" s="40">
        <f t="shared" si="25"/>
        <v>95.75</v>
      </c>
      <c r="N77" s="42">
        <v>15</v>
      </c>
      <c r="O77" s="43">
        <f t="shared" si="26"/>
        <v>120</v>
      </c>
      <c r="P77" s="42">
        <v>-0.85</v>
      </c>
      <c r="Q77" s="42">
        <f t="shared" si="27"/>
        <v>119.15</v>
      </c>
      <c r="R77" s="44">
        <f t="shared" si="28"/>
        <v>44</v>
      </c>
      <c r="S77" s="45">
        <f t="shared" si="29"/>
        <v>352</v>
      </c>
      <c r="T77" s="44">
        <f t="shared" si="30"/>
        <v>375.57</v>
      </c>
      <c r="U77" s="46">
        <f t="shared" si="31"/>
        <v>23.569999999999993</v>
      </c>
      <c r="V77" s="47">
        <v>4</v>
      </c>
      <c r="W77" s="48">
        <f t="shared" si="32"/>
        <v>32</v>
      </c>
      <c r="X77" s="49">
        <v>3</v>
      </c>
      <c r="Y77" s="50">
        <f t="shared" si="33"/>
        <v>24</v>
      </c>
      <c r="Z77" s="51">
        <v>2</v>
      </c>
      <c r="AA77" s="52">
        <f t="shared" si="34"/>
        <v>16</v>
      </c>
      <c r="AB77" s="36">
        <v>11</v>
      </c>
      <c r="AC77" s="36">
        <v>94</v>
      </c>
      <c r="AD77" s="29">
        <f t="shared" si="35"/>
        <v>541.56999999999994</v>
      </c>
    </row>
    <row r="78" spans="1:30" ht="15" customHeight="1" x14ac:dyDescent="0.25">
      <c r="A78" s="17">
        <f t="shared" si="18"/>
        <v>46173</v>
      </c>
      <c r="B78" s="18">
        <f t="shared" si="19"/>
        <v>2</v>
      </c>
      <c r="C78" s="18" t="str">
        <f t="shared" si="20"/>
        <v>Jun 2026</v>
      </c>
      <c r="D78" s="37">
        <v>46174</v>
      </c>
      <c r="E78" s="17" t="str">
        <f t="shared" si="21"/>
        <v>Monday</v>
      </c>
      <c r="F78" s="38">
        <v>22</v>
      </c>
      <c r="G78" s="39">
        <f t="shared" si="22"/>
        <v>176</v>
      </c>
      <c r="H78" s="38">
        <v>4.5</v>
      </c>
      <c r="I78" s="38">
        <f t="shared" si="23"/>
        <v>180.5</v>
      </c>
      <c r="J78" s="40">
        <v>14</v>
      </c>
      <c r="K78" s="41">
        <f t="shared" si="24"/>
        <v>112</v>
      </c>
      <c r="L78" s="40">
        <v>7.9</v>
      </c>
      <c r="M78" s="40">
        <f t="shared" si="25"/>
        <v>119.9</v>
      </c>
      <c r="N78" s="42">
        <v>14</v>
      </c>
      <c r="O78" s="43">
        <f t="shared" si="26"/>
        <v>112</v>
      </c>
      <c r="P78" s="42">
        <v>-10.02</v>
      </c>
      <c r="Q78" s="42">
        <f t="shared" si="27"/>
        <v>101.98</v>
      </c>
      <c r="R78" s="44">
        <f t="shared" si="28"/>
        <v>50</v>
      </c>
      <c r="S78" s="45">
        <f t="shared" si="29"/>
        <v>400</v>
      </c>
      <c r="T78" s="44">
        <f t="shared" si="30"/>
        <v>402.38</v>
      </c>
      <c r="U78" s="46">
        <f t="shared" si="31"/>
        <v>2.3799999999999955</v>
      </c>
      <c r="V78" s="47">
        <v>5</v>
      </c>
      <c r="W78" s="48">
        <f t="shared" si="32"/>
        <v>40</v>
      </c>
      <c r="X78" s="49">
        <v>0</v>
      </c>
      <c r="Y78" s="50">
        <f t="shared" si="33"/>
        <v>0</v>
      </c>
      <c r="Z78" s="51">
        <v>1</v>
      </c>
      <c r="AA78" s="52">
        <f t="shared" si="34"/>
        <v>8</v>
      </c>
      <c r="AB78" s="36">
        <v>4</v>
      </c>
      <c r="AC78" s="36">
        <v>40</v>
      </c>
      <c r="AD78" s="29">
        <f t="shared" si="35"/>
        <v>490.38</v>
      </c>
    </row>
    <row r="79" spans="1:30" ht="15" customHeight="1" x14ac:dyDescent="0.25">
      <c r="A79" s="17">
        <f t="shared" si="18"/>
        <v>46173</v>
      </c>
      <c r="B79" s="18">
        <f t="shared" si="19"/>
        <v>3</v>
      </c>
      <c r="C79" s="18" t="str">
        <f t="shared" si="20"/>
        <v>Jun 2026</v>
      </c>
      <c r="D79" s="37">
        <v>46175</v>
      </c>
      <c r="E79" s="17" t="str">
        <f t="shared" si="21"/>
        <v>Tuesday</v>
      </c>
      <c r="F79" s="38">
        <v>21</v>
      </c>
      <c r="G79" s="39">
        <f t="shared" si="22"/>
        <v>168</v>
      </c>
      <c r="H79" s="38">
        <v>13.47</v>
      </c>
      <c r="I79" s="38">
        <f t="shared" si="23"/>
        <v>181.47</v>
      </c>
      <c r="J79" s="40">
        <v>12</v>
      </c>
      <c r="K79" s="41">
        <f t="shared" si="24"/>
        <v>96</v>
      </c>
      <c r="L79" s="40">
        <v>5.96</v>
      </c>
      <c r="M79" s="40">
        <f t="shared" si="25"/>
        <v>101.96</v>
      </c>
      <c r="N79" s="42">
        <v>15</v>
      </c>
      <c r="O79" s="43">
        <f t="shared" si="26"/>
        <v>120</v>
      </c>
      <c r="P79" s="42">
        <v>-1.08</v>
      </c>
      <c r="Q79" s="42">
        <f t="shared" si="27"/>
        <v>118.92</v>
      </c>
      <c r="R79" s="44">
        <f t="shared" si="28"/>
        <v>48</v>
      </c>
      <c r="S79" s="45">
        <f t="shared" si="29"/>
        <v>384</v>
      </c>
      <c r="T79" s="44">
        <f t="shared" si="30"/>
        <v>402.35</v>
      </c>
      <c r="U79" s="46">
        <f t="shared" si="31"/>
        <v>18.350000000000023</v>
      </c>
      <c r="V79" s="47">
        <v>6</v>
      </c>
      <c r="W79" s="48">
        <f t="shared" si="32"/>
        <v>48</v>
      </c>
      <c r="X79" s="49">
        <v>2</v>
      </c>
      <c r="Y79" s="50">
        <f t="shared" si="33"/>
        <v>16</v>
      </c>
      <c r="Z79" s="51">
        <v>3</v>
      </c>
      <c r="AA79" s="52">
        <f t="shared" si="34"/>
        <v>24</v>
      </c>
      <c r="AB79" s="36">
        <v>6</v>
      </c>
      <c r="AC79" s="36">
        <v>57.5</v>
      </c>
      <c r="AD79" s="29">
        <f t="shared" si="35"/>
        <v>547.85</v>
      </c>
    </row>
    <row r="80" spans="1:30" ht="15" customHeight="1" x14ac:dyDescent="0.25">
      <c r="A80" s="17">
        <f t="shared" si="18"/>
        <v>46173</v>
      </c>
      <c r="B80" s="18">
        <f t="shared" si="19"/>
        <v>4</v>
      </c>
      <c r="C80" s="18" t="str">
        <f t="shared" si="20"/>
        <v>Jun 2026</v>
      </c>
      <c r="D80" s="37">
        <v>46176</v>
      </c>
      <c r="E80" s="17" t="str">
        <f t="shared" si="21"/>
        <v>Wednesday</v>
      </c>
      <c r="F80" s="38"/>
      <c r="G80" s="39">
        <f t="shared" si="22"/>
        <v>0</v>
      </c>
      <c r="H80" s="38"/>
      <c r="I80" s="38">
        <f t="shared" si="23"/>
        <v>0</v>
      </c>
      <c r="J80" s="40"/>
      <c r="K80" s="41">
        <f t="shared" si="24"/>
        <v>0</v>
      </c>
      <c r="L80" s="40"/>
      <c r="M80" s="40">
        <f t="shared" si="25"/>
        <v>0</v>
      </c>
      <c r="N80" s="42"/>
      <c r="O80" s="43">
        <f t="shared" si="26"/>
        <v>0</v>
      </c>
      <c r="P80" s="42"/>
      <c r="Q80" s="42">
        <f t="shared" si="27"/>
        <v>0</v>
      </c>
      <c r="R80" s="44">
        <f t="shared" si="28"/>
        <v>0</v>
      </c>
      <c r="S80" s="45">
        <f t="shared" si="29"/>
        <v>0</v>
      </c>
      <c r="T80" s="44">
        <f t="shared" si="30"/>
        <v>0</v>
      </c>
      <c r="U80" s="46">
        <f t="shared" si="31"/>
        <v>0</v>
      </c>
      <c r="V80" s="47"/>
      <c r="W80" s="48">
        <f t="shared" si="32"/>
        <v>0</v>
      </c>
      <c r="X80" s="49"/>
      <c r="Y80" s="50">
        <f t="shared" si="33"/>
        <v>0</v>
      </c>
      <c r="Z80" s="51"/>
      <c r="AA80" s="52">
        <f t="shared" si="34"/>
        <v>0</v>
      </c>
      <c r="AB80" s="36">
        <v>8</v>
      </c>
      <c r="AC80" s="36">
        <v>64</v>
      </c>
      <c r="AD80" s="29">
        <f t="shared" si="35"/>
        <v>64</v>
      </c>
    </row>
    <row r="81" spans="1:30" ht="15" customHeight="1" x14ac:dyDescent="0.25">
      <c r="A81" s="17">
        <f t="shared" si="18"/>
        <v>46173</v>
      </c>
      <c r="B81" s="18">
        <f t="shared" si="19"/>
        <v>5</v>
      </c>
      <c r="C81" s="18" t="str">
        <f t="shared" si="20"/>
        <v>Jun 2026</v>
      </c>
      <c r="D81" s="37">
        <v>46177</v>
      </c>
      <c r="E81" s="17" t="str">
        <f t="shared" si="21"/>
        <v>Thursday</v>
      </c>
      <c r="F81" s="38"/>
      <c r="G81" s="39">
        <f t="shared" si="22"/>
        <v>0</v>
      </c>
      <c r="H81" s="38"/>
      <c r="I81" s="38">
        <f t="shared" si="23"/>
        <v>0</v>
      </c>
      <c r="J81" s="40"/>
      <c r="K81" s="41">
        <f t="shared" si="24"/>
        <v>0</v>
      </c>
      <c r="L81" s="40"/>
      <c r="M81" s="40">
        <f t="shared" si="25"/>
        <v>0</v>
      </c>
      <c r="N81" s="42"/>
      <c r="O81" s="43">
        <f t="shared" si="26"/>
        <v>0</v>
      </c>
      <c r="P81" s="42"/>
      <c r="Q81" s="42">
        <f t="shared" si="27"/>
        <v>0</v>
      </c>
      <c r="R81" s="44">
        <f t="shared" si="28"/>
        <v>0</v>
      </c>
      <c r="S81" s="45">
        <f t="shared" si="29"/>
        <v>0</v>
      </c>
      <c r="T81" s="44">
        <f t="shared" si="30"/>
        <v>0</v>
      </c>
      <c r="U81" s="46">
        <f t="shared" si="31"/>
        <v>0</v>
      </c>
      <c r="V81" s="47"/>
      <c r="W81" s="48">
        <f t="shared" si="32"/>
        <v>0</v>
      </c>
      <c r="X81" s="49"/>
      <c r="Y81" s="50">
        <f t="shared" si="33"/>
        <v>0</v>
      </c>
      <c r="Z81" s="51"/>
      <c r="AA81" s="52">
        <f t="shared" si="34"/>
        <v>0</v>
      </c>
      <c r="AB81" s="36">
        <v>9</v>
      </c>
      <c r="AC81" s="36">
        <v>88</v>
      </c>
      <c r="AD81" s="29">
        <f t="shared" si="35"/>
        <v>88</v>
      </c>
    </row>
    <row r="82" spans="1:30" ht="15" customHeight="1" x14ac:dyDescent="0.25">
      <c r="A82" s="17">
        <f t="shared" si="18"/>
        <v>46173</v>
      </c>
      <c r="B82" s="18">
        <f t="shared" si="19"/>
        <v>6</v>
      </c>
      <c r="C82" s="18" t="str">
        <f t="shared" si="20"/>
        <v>Jun 2026</v>
      </c>
      <c r="D82" s="37">
        <v>46178</v>
      </c>
      <c r="E82" s="17" t="str">
        <f t="shared" si="21"/>
        <v>Friday</v>
      </c>
      <c r="F82" s="38"/>
      <c r="G82" s="39">
        <f t="shared" si="22"/>
        <v>0</v>
      </c>
      <c r="H82" s="38"/>
      <c r="I82" s="38">
        <f t="shared" si="23"/>
        <v>0</v>
      </c>
      <c r="J82" s="40"/>
      <c r="K82" s="41">
        <f t="shared" si="24"/>
        <v>0</v>
      </c>
      <c r="L82" s="40"/>
      <c r="M82" s="40">
        <f t="shared" si="25"/>
        <v>0</v>
      </c>
      <c r="N82" s="42"/>
      <c r="O82" s="43">
        <f t="shared" si="26"/>
        <v>0</v>
      </c>
      <c r="P82" s="42"/>
      <c r="Q82" s="42">
        <f t="shared" si="27"/>
        <v>0</v>
      </c>
      <c r="R82" s="44">
        <f t="shared" si="28"/>
        <v>0</v>
      </c>
      <c r="S82" s="45">
        <f t="shared" si="29"/>
        <v>0</v>
      </c>
      <c r="T82" s="44">
        <f t="shared" si="30"/>
        <v>0</v>
      </c>
      <c r="U82" s="46">
        <f t="shared" si="31"/>
        <v>0</v>
      </c>
      <c r="V82" s="47"/>
      <c r="W82" s="48">
        <f t="shared" si="32"/>
        <v>0</v>
      </c>
      <c r="X82" s="49"/>
      <c r="Y82" s="50">
        <f t="shared" si="33"/>
        <v>0</v>
      </c>
      <c r="Z82" s="51"/>
      <c r="AA82" s="52">
        <f t="shared" si="34"/>
        <v>0</v>
      </c>
      <c r="AB82" s="36">
        <v>6</v>
      </c>
      <c r="AC82" s="36">
        <v>43.5</v>
      </c>
      <c r="AD82" s="29">
        <f t="shared" si="35"/>
        <v>43.5</v>
      </c>
    </row>
    <row r="83" spans="1:30" ht="15" customHeight="1" x14ac:dyDescent="0.25">
      <c r="A83" s="17">
        <f t="shared" si="18"/>
        <v>46173</v>
      </c>
      <c r="B83" s="18">
        <f t="shared" si="19"/>
        <v>7</v>
      </c>
      <c r="C83" s="18" t="str">
        <f t="shared" si="20"/>
        <v>Jun 2026</v>
      </c>
      <c r="D83" s="37">
        <v>46179</v>
      </c>
      <c r="E83" s="17" t="str">
        <f t="shared" si="21"/>
        <v>Saturday</v>
      </c>
      <c r="F83" s="38">
        <v>19</v>
      </c>
      <c r="G83" s="39">
        <f t="shared" si="22"/>
        <v>152</v>
      </c>
      <c r="H83" s="38">
        <v>13.64</v>
      </c>
      <c r="I83" s="38">
        <f t="shared" si="23"/>
        <v>165.64</v>
      </c>
      <c r="J83" s="40">
        <v>13</v>
      </c>
      <c r="K83" s="41">
        <f t="shared" si="24"/>
        <v>104</v>
      </c>
      <c r="L83" s="40">
        <v>25.31</v>
      </c>
      <c r="M83" s="40">
        <f t="shared" si="25"/>
        <v>129.31</v>
      </c>
      <c r="N83" s="42">
        <v>16</v>
      </c>
      <c r="O83" s="43">
        <f t="shared" si="26"/>
        <v>128</v>
      </c>
      <c r="P83" s="42">
        <v>14.99</v>
      </c>
      <c r="Q83" s="42">
        <f t="shared" si="27"/>
        <v>142.99</v>
      </c>
      <c r="R83" s="44">
        <f t="shared" si="28"/>
        <v>48</v>
      </c>
      <c r="S83" s="45">
        <f t="shared" si="29"/>
        <v>384</v>
      </c>
      <c r="T83" s="44">
        <f t="shared" si="30"/>
        <v>437.94</v>
      </c>
      <c r="U83" s="46">
        <f t="shared" si="31"/>
        <v>53.94</v>
      </c>
      <c r="V83" s="47">
        <v>3</v>
      </c>
      <c r="W83" s="48">
        <f t="shared" si="32"/>
        <v>24</v>
      </c>
      <c r="X83" s="49">
        <v>0</v>
      </c>
      <c r="Y83" s="50">
        <f t="shared" si="33"/>
        <v>0</v>
      </c>
      <c r="Z83" s="51">
        <v>1</v>
      </c>
      <c r="AA83" s="52">
        <f t="shared" si="34"/>
        <v>8</v>
      </c>
      <c r="AB83" s="36">
        <v>12</v>
      </c>
      <c r="AC83" s="36">
        <v>115.25</v>
      </c>
      <c r="AD83" s="29">
        <f t="shared" si="35"/>
        <v>585.19000000000005</v>
      </c>
    </row>
    <row r="84" spans="1:30" ht="15" customHeight="1" x14ac:dyDescent="0.25">
      <c r="A84" s="17">
        <f t="shared" si="18"/>
        <v>46180</v>
      </c>
      <c r="B84" s="18">
        <f t="shared" si="19"/>
        <v>1</v>
      </c>
      <c r="C84" s="18" t="str">
        <f t="shared" si="20"/>
        <v>Jun 2026</v>
      </c>
      <c r="D84" s="37">
        <v>46180</v>
      </c>
      <c r="E84" s="17" t="str">
        <f t="shared" si="21"/>
        <v>Sunday</v>
      </c>
      <c r="F84" s="38">
        <v>15</v>
      </c>
      <c r="G84" s="39">
        <f t="shared" si="22"/>
        <v>120</v>
      </c>
      <c r="H84" s="38">
        <v>16.14</v>
      </c>
      <c r="I84" s="38">
        <f t="shared" si="23"/>
        <v>136.13999999999999</v>
      </c>
      <c r="J84" s="40">
        <v>12</v>
      </c>
      <c r="K84" s="41">
        <f t="shared" si="24"/>
        <v>96</v>
      </c>
      <c r="L84" s="40">
        <v>3.01</v>
      </c>
      <c r="M84" s="40">
        <f t="shared" si="25"/>
        <v>99.01</v>
      </c>
      <c r="N84" s="42">
        <v>12</v>
      </c>
      <c r="O84" s="43">
        <f t="shared" si="26"/>
        <v>96</v>
      </c>
      <c r="P84" s="42">
        <v>1.66</v>
      </c>
      <c r="Q84" s="42">
        <f t="shared" si="27"/>
        <v>97.66</v>
      </c>
      <c r="R84" s="44">
        <f t="shared" si="28"/>
        <v>39</v>
      </c>
      <c r="S84" s="45">
        <f t="shared" si="29"/>
        <v>312</v>
      </c>
      <c r="T84" s="44">
        <f t="shared" si="30"/>
        <v>332.81</v>
      </c>
      <c r="U84" s="46">
        <f t="shared" si="31"/>
        <v>20.810000000000002</v>
      </c>
      <c r="V84" s="47">
        <v>4</v>
      </c>
      <c r="W84" s="48">
        <f t="shared" si="32"/>
        <v>32</v>
      </c>
      <c r="X84" s="49">
        <v>2</v>
      </c>
      <c r="Y84" s="50">
        <f t="shared" si="33"/>
        <v>16</v>
      </c>
      <c r="Z84" s="51">
        <v>4</v>
      </c>
      <c r="AA84" s="52">
        <f t="shared" si="34"/>
        <v>32</v>
      </c>
      <c r="AB84" s="36">
        <v>11</v>
      </c>
      <c r="AC84" s="36">
        <v>92.67</v>
      </c>
      <c r="AD84" s="29">
        <f t="shared" si="35"/>
        <v>505.48</v>
      </c>
    </row>
    <row r="85" spans="1:30" ht="15" customHeight="1" x14ac:dyDescent="0.25">
      <c r="A85" s="17">
        <f t="shared" si="18"/>
        <v>46180</v>
      </c>
      <c r="B85" s="18">
        <f t="shared" si="19"/>
        <v>2</v>
      </c>
      <c r="C85" s="18" t="str">
        <f t="shared" si="20"/>
        <v>Jun 2026</v>
      </c>
      <c r="D85" s="37">
        <v>46181</v>
      </c>
      <c r="E85" s="17" t="str">
        <f t="shared" si="21"/>
        <v>Monday</v>
      </c>
      <c r="F85" s="38">
        <v>18</v>
      </c>
      <c r="G85" s="39">
        <f t="shared" si="22"/>
        <v>144</v>
      </c>
      <c r="H85" s="38">
        <v>14.64</v>
      </c>
      <c r="I85" s="38">
        <f t="shared" si="23"/>
        <v>158.63999999999999</v>
      </c>
      <c r="J85" s="40">
        <v>12</v>
      </c>
      <c r="K85" s="41">
        <f t="shared" si="24"/>
        <v>96</v>
      </c>
      <c r="L85" s="40">
        <v>7.18</v>
      </c>
      <c r="M85" s="40">
        <f t="shared" si="25"/>
        <v>103.18</v>
      </c>
      <c r="N85" s="42">
        <v>12</v>
      </c>
      <c r="O85" s="43">
        <f t="shared" si="26"/>
        <v>96</v>
      </c>
      <c r="P85" s="42">
        <v>3.61</v>
      </c>
      <c r="Q85" s="42">
        <f t="shared" si="27"/>
        <v>99.61</v>
      </c>
      <c r="R85" s="44">
        <f t="shared" si="28"/>
        <v>42</v>
      </c>
      <c r="S85" s="45">
        <f t="shared" si="29"/>
        <v>336</v>
      </c>
      <c r="T85" s="44">
        <f t="shared" si="30"/>
        <v>361.43</v>
      </c>
      <c r="U85" s="46">
        <f t="shared" si="31"/>
        <v>25.430000000000007</v>
      </c>
      <c r="V85" s="47">
        <v>5</v>
      </c>
      <c r="W85" s="48">
        <f t="shared" si="32"/>
        <v>40</v>
      </c>
      <c r="X85" s="49">
        <v>2</v>
      </c>
      <c r="Y85" s="50">
        <f t="shared" si="33"/>
        <v>16</v>
      </c>
      <c r="Z85" s="51">
        <v>2</v>
      </c>
      <c r="AA85" s="52">
        <f t="shared" si="34"/>
        <v>16</v>
      </c>
      <c r="AB85" s="36">
        <v>8</v>
      </c>
      <c r="AC85" s="36">
        <v>72.5</v>
      </c>
      <c r="AD85" s="29">
        <f t="shared" si="35"/>
        <v>505.93</v>
      </c>
    </row>
    <row r="86" spans="1:30" ht="15" customHeight="1" x14ac:dyDescent="0.25">
      <c r="A86" s="17">
        <f t="shared" si="18"/>
        <v>46180</v>
      </c>
      <c r="B86" s="18">
        <f t="shared" si="19"/>
        <v>3</v>
      </c>
      <c r="C86" s="18" t="str">
        <f t="shared" si="20"/>
        <v>Jun 2026</v>
      </c>
      <c r="D86" s="37">
        <v>46182</v>
      </c>
      <c r="E86" s="17" t="str">
        <f t="shared" si="21"/>
        <v>Tuesday</v>
      </c>
      <c r="F86" s="38">
        <v>19</v>
      </c>
      <c r="G86" s="39">
        <f t="shared" si="22"/>
        <v>152</v>
      </c>
      <c r="H86" s="38">
        <v>14.89</v>
      </c>
      <c r="I86" s="38">
        <f t="shared" si="23"/>
        <v>166.89</v>
      </c>
      <c r="J86" s="40">
        <v>13</v>
      </c>
      <c r="K86" s="41">
        <f t="shared" si="24"/>
        <v>104</v>
      </c>
      <c r="L86" s="40">
        <v>10.67</v>
      </c>
      <c r="M86" s="40">
        <f t="shared" si="25"/>
        <v>114.67</v>
      </c>
      <c r="N86" s="42">
        <v>13</v>
      </c>
      <c r="O86" s="43">
        <f t="shared" si="26"/>
        <v>104</v>
      </c>
      <c r="P86" s="42">
        <v>-0.2</v>
      </c>
      <c r="Q86" s="42">
        <f t="shared" si="27"/>
        <v>103.8</v>
      </c>
      <c r="R86" s="44">
        <f t="shared" si="28"/>
        <v>45</v>
      </c>
      <c r="S86" s="45">
        <f t="shared" si="29"/>
        <v>360</v>
      </c>
      <c r="T86" s="44">
        <f t="shared" si="30"/>
        <v>385.36</v>
      </c>
      <c r="U86" s="46">
        <f t="shared" si="31"/>
        <v>25.360000000000014</v>
      </c>
      <c r="V86" s="47">
        <v>7</v>
      </c>
      <c r="W86" s="48">
        <f t="shared" si="32"/>
        <v>56</v>
      </c>
      <c r="X86" s="49">
        <v>2</v>
      </c>
      <c r="Y86" s="50">
        <f t="shared" si="33"/>
        <v>16</v>
      </c>
      <c r="Z86" s="51">
        <v>0</v>
      </c>
      <c r="AA86" s="52">
        <f t="shared" si="34"/>
        <v>0</v>
      </c>
      <c r="AB86" s="36">
        <v>9</v>
      </c>
      <c r="AC86" s="36">
        <v>86.5</v>
      </c>
      <c r="AD86" s="29">
        <f t="shared" si="35"/>
        <v>543.86</v>
      </c>
    </row>
    <row r="87" spans="1:30" ht="15" customHeight="1" x14ac:dyDescent="0.25">
      <c r="A87" s="17">
        <f t="shared" si="18"/>
        <v>46180</v>
      </c>
      <c r="B87" s="18">
        <f t="shared" si="19"/>
        <v>4</v>
      </c>
      <c r="C87" s="18" t="str">
        <f t="shared" si="20"/>
        <v>Jun 2026</v>
      </c>
      <c r="D87" s="37">
        <v>46183</v>
      </c>
      <c r="E87" s="17" t="str">
        <f t="shared" si="21"/>
        <v>Wednesday</v>
      </c>
      <c r="F87" s="38">
        <v>20</v>
      </c>
      <c r="G87" s="39">
        <f t="shared" si="22"/>
        <v>160</v>
      </c>
      <c r="H87" s="38">
        <v>32.520000000000003</v>
      </c>
      <c r="I87" s="38">
        <f t="shared" si="23"/>
        <v>192.52</v>
      </c>
      <c r="J87" s="40">
        <v>13</v>
      </c>
      <c r="K87" s="41">
        <f t="shared" si="24"/>
        <v>104</v>
      </c>
      <c r="L87" s="40">
        <v>11.23</v>
      </c>
      <c r="M87" s="40">
        <f t="shared" si="25"/>
        <v>115.23</v>
      </c>
      <c r="N87" s="42">
        <v>11</v>
      </c>
      <c r="O87" s="43">
        <f t="shared" si="26"/>
        <v>88</v>
      </c>
      <c r="P87" s="42">
        <v>9.76</v>
      </c>
      <c r="Q87" s="42">
        <f t="shared" si="27"/>
        <v>97.76</v>
      </c>
      <c r="R87" s="44">
        <f t="shared" si="28"/>
        <v>44</v>
      </c>
      <c r="S87" s="45">
        <f t="shared" si="29"/>
        <v>352</v>
      </c>
      <c r="T87" s="44">
        <f t="shared" si="30"/>
        <v>405.51</v>
      </c>
      <c r="U87" s="46">
        <f t="shared" si="31"/>
        <v>53.509999999999991</v>
      </c>
      <c r="V87" s="47">
        <v>7</v>
      </c>
      <c r="W87" s="48">
        <f t="shared" si="32"/>
        <v>56</v>
      </c>
      <c r="X87" s="49">
        <v>2</v>
      </c>
      <c r="Y87" s="50">
        <f t="shared" si="33"/>
        <v>16</v>
      </c>
      <c r="Z87" s="51">
        <v>4</v>
      </c>
      <c r="AA87" s="52">
        <f t="shared" si="34"/>
        <v>32</v>
      </c>
      <c r="AB87" s="36">
        <v>10</v>
      </c>
      <c r="AC87" s="36">
        <v>88</v>
      </c>
      <c r="AD87" s="29">
        <f t="shared" si="35"/>
        <v>597.51</v>
      </c>
    </row>
    <row r="88" spans="1:30" ht="15" customHeight="1" x14ac:dyDescent="0.25">
      <c r="A88" s="17">
        <f t="shared" si="18"/>
        <v>46180</v>
      </c>
      <c r="B88" s="18">
        <f t="shared" si="19"/>
        <v>5</v>
      </c>
      <c r="C88" s="18" t="str">
        <f t="shared" si="20"/>
        <v>Jun 2026</v>
      </c>
      <c r="D88" s="37">
        <v>46184</v>
      </c>
      <c r="E88" s="17" t="str">
        <f t="shared" si="21"/>
        <v>Thursday</v>
      </c>
      <c r="F88" s="38">
        <v>19</v>
      </c>
      <c r="G88" s="39">
        <f t="shared" si="22"/>
        <v>152</v>
      </c>
      <c r="H88" s="38">
        <v>27.15</v>
      </c>
      <c r="I88" s="38">
        <f t="shared" si="23"/>
        <v>179.15</v>
      </c>
      <c r="J88" s="40">
        <v>13</v>
      </c>
      <c r="K88" s="41">
        <f t="shared" si="24"/>
        <v>104</v>
      </c>
      <c r="L88" s="40">
        <v>26.77</v>
      </c>
      <c r="M88" s="40">
        <f t="shared" si="25"/>
        <v>130.77000000000001</v>
      </c>
      <c r="N88" s="42">
        <v>16</v>
      </c>
      <c r="O88" s="43">
        <f t="shared" si="26"/>
        <v>128</v>
      </c>
      <c r="P88" s="42">
        <v>29.78</v>
      </c>
      <c r="Q88" s="42">
        <f t="shared" si="27"/>
        <v>157.78</v>
      </c>
      <c r="R88" s="44">
        <f t="shared" si="28"/>
        <v>48</v>
      </c>
      <c r="S88" s="45">
        <f t="shared" si="29"/>
        <v>384</v>
      </c>
      <c r="T88" s="44">
        <f t="shared" si="30"/>
        <v>467.69999999999993</v>
      </c>
      <c r="U88" s="46">
        <f t="shared" si="31"/>
        <v>83.699999999999932</v>
      </c>
      <c r="V88" s="47"/>
      <c r="W88" s="48">
        <f t="shared" si="32"/>
        <v>0</v>
      </c>
      <c r="X88" s="49"/>
      <c r="Y88" s="50">
        <f t="shared" si="33"/>
        <v>0</v>
      </c>
      <c r="Z88" s="51"/>
      <c r="AA88" s="52">
        <f t="shared" si="34"/>
        <v>0</v>
      </c>
      <c r="AB88" s="36">
        <v>16</v>
      </c>
      <c r="AC88" s="36">
        <v>144.5</v>
      </c>
      <c r="AD88" s="29">
        <f t="shared" si="35"/>
        <v>612.19999999999993</v>
      </c>
    </row>
    <row r="89" spans="1:30" ht="15" customHeight="1" x14ac:dyDescent="0.25">
      <c r="A89" s="17">
        <f t="shared" si="18"/>
        <v>46180</v>
      </c>
      <c r="B89" s="18">
        <f t="shared" si="19"/>
        <v>6</v>
      </c>
      <c r="C89" s="18" t="str">
        <f t="shared" si="20"/>
        <v>Jun 2026</v>
      </c>
      <c r="D89" s="37">
        <v>46185</v>
      </c>
      <c r="E89" s="17" t="str">
        <f t="shared" si="21"/>
        <v>Friday</v>
      </c>
      <c r="F89" s="38">
        <v>14</v>
      </c>
      <c r="G89" s="39">
        <f t="shared" si="22"/>
        <v>112</v>
      </c>
      <c r="H89" s="38">
        <v>21.25</v>
      </c>
      <c r="I89" s="38">
        <f t="shared" si="23"/>
        <v>133.25</v>
      </c>
      <c r="J89" s="40"/>
      <c r="K89" s="41">
        <f t="shared" si="24"/>
        <v>0</v>
      </c>
      <c r="L89" s="40"/>
      <c r="M89" s="40">
        <f t="shared" si="25"/>
        <v>0</v>
      </c>
      <c r="N89" s="42"/>
      <c r="O89" s="43">
        <f t="shared" si="26"/>
        <v>0</v>
      </c>
      <c r="P89" s="42"/>
      <c r="Q89" s="42">
        <f t="shared" si="27"/>
        <v>0</v>
      </c>
      <c r="R89" s="44">
        <f t="shared" si="28"/>
        <v>14</v>
      </c>
      <c r="S89" s="45">
        <f t="shared" si="29"/>
        <v>112</v>
      </c>
      <c r="T89" s="44">
        <f t="shared" si="30"/>
        <v>133.25</v>
      </c>
      <c r="U89" s="46">
        <f t="shared" si="31"/>
        <v>21.25</v>
      </c>
      <c r="V89" s="47"/>
      <c r="W89" s="48">
        <f t="shared" si="32"/>
        <v>0</v>
      </c>
      <c r="X89" s="49"/>
      <c r="Y89" s="50">
        <f t="shared" si="33"/>
        <v>0</v>
      </c>
      <c r="Z89" s="51"/>
      <c r="AA89" s="52">
        <f t="shared" si="34"/>
        <v>0</v>
      </c>
      <c r="AB89" s="36">
        <v>8</v>
      </c>
      <c r="AC89" s="36">
        <v>65</v>
      </c>
      <c r="AD89" s="29">
        <f t="shared" si="35"/>
        <v>198.25</v>
      </c>
    </row>
    <row r="90" spans="1:30" ht="15" customHeight="1" x14ac:dyDescent="0.25">
      <c r="A90" s="17">
        <f t="shared" si="18"/>
        <v>46180</v>
      </c>
      <c r="B90" s="18">
        <f t="shared" si="19"/>
        <v>7</v>
      </c>
      <c r="C90" s="18" t="str">
        <f t="shared" si="20"/>
        <v>Jun 2026</v>
      </c>
      <c r="D90" s="37">
        <v>46186</v>
      </c>
      <c r="E90" s="17" t="str">
        <f t="shared" si="21"/>
        <v>Saturday</v>
      </c>
      <c r="F90" s="38">
        <v>18</v>
      </c>
      <c r="G90" s="39">
        <f t="shared" si="22"/>
        <v>144</v>
      </c>
      <c r="H90" s="38">
        <v>8.23</v>
      </c>
      <c r="I90" s="38">
        <f t="shared" si="23"/>
        <v>152.22999999999999</v>
      </c>
      <c r="J90" s="40">
        <v>12</v>
      </c>
      <c r="K90" s="41">
        <f t="shared" si="24"/>
        <v>96</v>
      </c>
      <c r="L90" s="40">
        <v>25.65</v>
      </c>
      <c r="M90" s="40">
        <f t="shared" si="25"/>
        <v>121.65</v>
      </c>
      <c r="N90" s="42">
        <v>15</v>
      </c>
      <c r="O90" s="43">
        <f t="shared" si="26"/>
        <v>120</v>
      </c>
      <c r="P90" s="42">
        <v>32.020000000000003</v>
      </c>
      <c r="Q90" s="42">
        <f t="shared" si="27"/>
        <v>152.02000000000001</v>
      </c>
      <c r="R90" s="44">
        <f t="shared" si="28"/>
        <v>45</v>
      </c>
      <c r="S90" s="45">
        <f t="shared" si="29"/>
        <v>360</v>
      </c>
      <c r="T90" s="44">
        <f t="shared" si="30"/>
        <v>425.9</v>
      </c>
      <c r="U90" s="46">
        <f t="shared" si="31"/>
        <v>65.899999999999977</v>
      </c>
      <c r="V90" s="47"/>
      <c r="W90" s="48">
        <f t="shared" si="32"/>
        <v>0</v>
      </c>
      <c r="X90" s="49"/>
      <c r="Y90" s="50">
        <f t="shared" si="33"/>
        <v>0</v>
      </c>
      <c r="Z90" s="51"/>
      <c r="AA90" s="52">
        <f t="shared" si="34"/>
        <v>0</v>
      </c>
      <c r="AB90" s="36">
        <v>15</v>
      </c>
      <c r="AC90" s="36">
        <v>131.75</v>
      </c>
      <c r="AD90" s="29">
        <f t="shared" si="35"/>
        <v>557.65</v>
      </c>
    </row>
    <row r="91" spans="1:30" ht="15" customHeight="1" x14ac:dyDescent="0.25">
      <c r="A91" s="17">
        <f t="shared" si="18"/>
        <v>46187</v>
      </c>
      <c r="B91" s="18">
        <f t="shared" si="19"/>
        <v>1</v>
      </c>
      <c r="C91" s="18" t="str">
        <f t="shared" si="20"/>
        <v>Jun 2026</v>
      </c>
      <c r="D91" s="37">
        <v>46187</v>
      </c>
      <c r="E91" s="17" t="str">
        <f t="shared" si="21"/>
        <v>Sunday</v>
      </c>
      <c r="F91" s="38">
        <v>17</v>
      </c>
      <c r="G91" s="39">
        <f t="shared" si="22"/>
        <v>136</v>
      </c>
      <c r="H91" s="38">
        <v>21.52</v>
      </c>
      <c r="I91" s="38">
        <f t="shared" si="23"/>
        <v>157.52000000000001</v>
      </c>
      <c r="J91" s="40">
        <v>12</v>
      </c>
      <c r="K91" s="41">
        <f t="shared" si="24"/>
        <v>96</v>
      </c>
      <c r="L91" s="40">
        <v>7.53</v>
      </c>
      <c r="M91" s="40">
        <f t="shared" si="25"/>
        <v>103.53</v>
      </c>
      <c r="N91" s="42">
        <v>15</v>
      </c>
      <c r="O91" s="43">
        <f t="shared" si="26"/>
        <v>120</v>
      </c>
      <c r="P91" s="42">
        <v>-0.05</v>
      </c>
      <c r="Q91" s="42">
        <f t="shared" si="27"/>
        <v>119.95</v>
      </c>
      <c r="R91" s="44">
        <f t="shared" si="28"/>
        <v>44</v>
      </c>
      <c r="S91" s="45">
        <f t="shared" si="29"/>
        <v>352</v>
      </c>
      <c r="T91" s="44">
        <f t="shared" si="30"/>
        <v>381</v>
      </c>
      <c r="U91" s="46">
        <f t="shared" si="31"/>
        <v>29</v>
      </c>
      <c r="V91" s="47"/>
      <c r="W91" s="48">
        <f t="shared" si="32"/>
        <v>0</v>
      </c>
      <c r="X91" s="49"/>
      <c r="Y91" s="50">
        <f t="shared" si="33"/>
        <v>0</v>
      </c>
      <c r="Z91" s="51"/>
      <c r="AA91" s="52">
        <f t="shared" si="34"/>
        <v>0</v>
      </c>
      <c r="AB91" s="36">
        <v>13</v>
      </c>
      <c r="AC91" s="36">
        <v>111.5</v>
      </c>
      <c r="AD91" s="29">
        <f t="shared" si="35"/>
        <v>492.5</v>
      </c>
    </row>
    <row r="92" spans="1:30" ht="15" customHeight="1" x14ac:dyDescent="0.25">
      <c r="A92" s="17">
        <f t="shared" si="18"/>
        <v>46187</v>
      </c>
      <c r="B92" s="18">
        <f t="shared" si="19"/>
        <v>2</v>
      </c>
      <c r="C92" s="18" t="str">
        <f t="shared" si="20"/>
        <v>Jun 2026</v>
      </c>
      <c r="D92" s="37">
        <v>46188</v>
      </c>
      <c r="E92" s="17" t="str">
        <f t="shared" si="21"/>
        <v>Monday</v>
      </c>
      <c r="F92" s="38">
        <v>18</v>
      </c>
      <c r="G92" s="39">
        <f t="shared" si="22"/>
        <v>144</v>
      </c>
      <c r="H92" s="38">
        <v>27.12</v>
      </c>
      <c r="I92" s="38">
        <f t="shared" si="23"/>
        <v>171.12</v>
      </c>
      <c r="J92" s="40">
        <v>13</v>
      </c>
      <c r="K92" s="41">
        <f t="shared" si="24"/>
        <v>104</v>
      </c>
      <c r="L92" s="40">
        <v>16.87</v>
      </c>
      <c r="M92" s="40">
        <f t="shared" si="25"/>
        <v>120.87</v>
      </c>
      <c r="N92" s="42">
        <v>14</v>
      </c>
      <c r="O92" s="43">
        <f t="shared" si="26"/>
        <v>112</v>
      </c>
      <c r="P92" s="42">
        <v>19.47</v>
      </c>
      <c r="Q92" s="42">
        <f t="shared" si="27"/>
        <v>131.47</v>
      </c>
      <c r="R92" s="44">
        <f t="shared" si="28"/>
        <v>45</v>
      </c>
      <c r="S92" s="45">
        <f t="shared" si="29"/>
        <v>360</v>
      </c>
      <c r="T92" s="44">
        <f t="shared" si="30"/>
        <v>423.46000000000004</v>
      </c>
      <c r="U92" s="46">
        <f t="shared" si="31"/>
        <v>63.460000000000036</v>
      </c>
      <c r="V92" s="47"/>
      <c r="W92" s="48">
        <f t="shared" si="32"/>
        <v>0</v>
      </c>
      <c r="X92" s="49"/>
      <c r="Y92" s="50">
        <f t="shared" si="33"/>
        <v>0</v>
      </c>
      <c r="Z92" s="51"/>
      <c r="AA92" s="52">
        <f t="shared" si="34"/>
        <v>0</v>
      </c>
      <c r="AB92" s="36">
        <v>19</v>
      </c>
      <c r="AC92" s="36">
        <v>174.3</v>
      </c>
      <c r="AD92" s="29">
        <f t="shared" si="35"/>
        <v>597.76</v>
      </c>
    </row>
    <row r="93" spans="1:30" ht="15" customHeight="1" x14ac:dyDescent="0.25">
      <c r="A93" s="17">
        <f t="shared" si="18"/>
        <v>46187</v>
      </c>
      <c r="B93" s="18">
        <f t="shared" si="19"/>
        <v>3</v>
      </c>
      <c r="C93" s="18" t="str">
        <f t="shared" si="20"/>
        <v>Jun 2026</v>
      </c>
      <c r="D93" s="37">
        <v>46189</v>
      </c>
      <c r="E93" s="17" t="str">
        <f t="shared" si="21"/>
        <v>Tuesday</v>
      </c>
      <c r="F93" s="38">
        <v>18</v>
      </c>
      <c r="G93" s="39">
        <f t="shared" si="22"/>
        <v>144</v>
      </c>
      <c r="H93" s="38">
        <v>14.63</v>
      </c>
      <c r="I93" s="38">
        <f t="shared" si="23"/>
        <v>158.63</v>
      </c>
      <c r="J93" s="40">
        <v>13</v>
      </c>
      <c r="K93" s="41">
        <f t="shared" si="24"/>
        <v>104</v>
      </c>
      <c r="L93" s="40">
        <v>8.4</v>
      </c>
      <c r="M93" s="40">
        <f t="shared" si="25"/>
        <v>112.4</v>
      </c>
      <c r="N93" s="42">
        <v>15</v>
      </c>
      <c r="O93" s="43">
        <f t="shared" si="26"/>
        <v>120</v>
      </c>
      <c r="P93" s="42">
        <v>14.08</v>
      </c>
      <c r="Q93" s="42">
        <f t="shared" si="27"/>
        <v>134.08000000000001</v>
      </c>
      <c r="R93" s="44">
        <f t="shared" si="28"/>
        <v>46</v>
      </c>
      <c r="S93" s="45">
        <f t="shared" si="29"/>
        <v>368</v>
      </c>
      <c r="T93" s="44">
        <f t="shared" si="30"/>
        <v>405.10999999999996</v>
      </c>
      <c r="U93" s="46">
        <f t="shared" si="31"/>
        <v>37.109999999999957</v>
      </c>
      <c r="V93" s="47"/>
      <c r="W93" s="48">
        <f t="shared" si="32"/>
        <v>0</v>
      </c>
      <c r="X93" s="49"/>
      <c r="Y93" s="50">
        <f t="shared" si="33"/>
        <v>0</v>
      </c>
      <c r="Z93" s="51"/>
      <c r="AA93" s="52">
        <f t="shared" si="34"/>
        <v>0</v>
      </c>
      <c r="AB93" s="36">
        <v>16</v>
      </c>
      <c r="AC93" s="36">
        <v>135.80000000000001</v>
      </c>
      <c r="AD93" s="29">
        <f t="shared" si="35"/>
        <v>540.91</v>
      </c>
    </row>
    <row r="94" spans="1:30" ht="15" customHeight="1" x14ac:dyDescent="0.25">
      <c r="A94" s="17">
        <f t="shared" si="18"/>
        <v>46187</v>
      </c>
      <c r="B94" s="18">
        <f t="shared" si="19"/>
        <v>4</v>
      </c>
      <c r="C94" s="18" t="str">
        <f t="shared" si="20"/>
        <v>Jun 2026</v>
      </c>
      <c r="D94" s="37">
        <v>46190</v>
      </c>
      <c r="E94" s="17" t="str">
        <f t="shared" si="21"/>
        <v>Wednesday</v>
      </c>
      <c r="F94" s="38">
        <v>19</v>
      </c>
      <c r="G94" s="39">
        <f t="shared" si="22"/>
        <v>152</v>
      </c>
      <c r="H94" s="38">
        <v>15.37</v>
      </c>
      <c r="I94" s="38">
        <f t="shared" si="23"/>
        <v>167.37</v>
      </c>
      <c r="J94" s="40">
        <v>13</v>
      </c>
      <c r="K94" s="41">
        <f t="shared" si="24"/>
        <v>104</v>
      </c>
      <c r="L94" s="40">
        <v>9.35</v>
      </c>
      <c r="M94" s="40">
        <f t="shared" si="25"/>
        <v>113.35</v>
      </c>
      <c r="N94" s="42">
        <v>16</v>
      </c>
      <c r="O94" s="43">
        <f t="shared" si="26"/>
        <v>128</v>
      </c>
      <c r="P94" s="42">
        <v>13.37</v>
      </c>
      <c r="Q94" s="42">
        <f t="shared" si="27"/>
        <v>141.37</v>
      </c>
      <c r="R94" s="44">
        <f t="shared" si="28"/>
        <v>48</v>
      </c>
      <c r="S94" s="45">
        <f t="shared" si="29"/>
        <v>384</v>
      </c>
      <c r="T94" s="44">
        <f t="shared" si="30"/>
        <v>422.09000000000003</v>
      </c>
      <c r="U94" s="46">
        <f t="shared" si="31"/>
        <v>38.090000000000032</v>
      </c>
      <c r="V94" s="47"/>
      <c r="W94" s="48">
        <f t="shared" si="32"/>
        <v>0</v>
      </c>
      <c r="X94" s="49"/>
      <c r="Y94" s="50">
        <f t="shared" si="33"/>
        <v>0</v>
      </c>
      <c r="Z94" s="51"/>
      <c r="AA94" s="52">
        <f t="shared" si="34"/>
        <v>0</v>
      </c>
      <c r="AB94" s="36">
        <v>13</v>
      </c>
      <c r="AC94" s="36">
        <v>109.25</v>
      </c>
      <c r="AD94" s="29">
        <f t="shared" si="35"/>
        <v>531.34</v>
      </c>
    </row>
    <row r="95" spans="1:30" ht="15" customHeight="1" x14ac:dyDescent="0.25">
      <c r="A95" s="17">
        <f t="shared" si="18"/>
        <v>46187</v>
      </c>
      <c r="B95" s="18">
        <f t="shared" si="19"/>
        <v>5</v>
      </c>
      <c r="C95" s="18" t="str">
        <f t="shared" si="20"/>
        <v>Jun 2026</v>
      </c>
      <c r="D95" s="37">
        <v>46191</v>
      </c>
      <c r="E95" s="17" t="str">
        <f t="shared" si="21"/>
        <v>Thursday</v>
      </c>
      <c r="F95" s="38">
        <v>18</v>
      </c>
      <c r="G95" s="39">
        <f t="shared" si="22"/>
        <v>144</v>
      </c>
      <c r="H95" s="38">
        <v>6.37</v>
      </c>
      <c r="I95" s="38">
        <f t="shared" si="23"/>
        <v>150.37</v>
      </c>
      <c r="J95" s="40">
        <v>12</v>
      </c>
      <c r="K95" s="41">
        <f t="shared" si="24"/>
        <v>96</v>
      </c>
      <c r="L95" s="40">
        <v>24.32</v>
      </c>
      <c r="M95" s="40">
        <f t="shared" si="25"/>
        <v>120.32</v>
      </c>
      <c r="N95" s="42">
        <v>16</v>
      </c>
      <c r="O95" s="43">
        <f t="shared" si="26"/>
        <v>128</v>
      </c>
      <c r="P95" s="42">
        <v>31.73</v>
      </c>
      <c r="Q95" s="42">
        <f t="shared" si="27"/>
        <v>159.72999999999999</v>
      </c>
      <c r="R95" s="44">
        <f t="shared" si="28"/>
        <v>46</v>
      </c>
      <c r="S95" s="45">
        <f t="shared" si="29"/>
        <v>368</v>
      </c>
      <c r="T95" s="44">
        <f t="shared" si="30"/>
        <v>430.42</v>
      </c>
      <c r="U95" s="46">
        <f t="shared" si="31"/>
        <v>62.420000000000016</v>
      </c>
      <c r="V95" s="47"/>
      <c r="W95" s="48">
        <f t="shared" si="32"/>
        <v>0</v>
      </c>
      <c r="X95" s="49"/>
      <c r="Y95" s="50">
        <f t="shared" si="33"/>
        <v>0</v>
      </c>
      <c r="Z95" s="51"/>
      <c r="AA95" s="52">
        <f t="shared" si="34"/>
        <v>0</v>
      </c>
      <c r="AB95" s="36">
        <v>22</v>
      </c>
      <c r="AC95" s="36">
        <v>201</v>
      </c>
      <c r="AD95" s="29">
        <f t="shared" si="35"/>
        <v>631.42000000000007</v>
      </c>
    </row>
    <row r="96" spans="1:30" ht="15" customHeight="1" x14ac:dyDescent="0.25">
      <c r="A96" s="17">
        <f t="shared" si="18"/>
        <v>46187</v>
      </c>
      <c r="B96" s="18">
        <f t="shared" si="19"/>
        <v>6</v>
      </c>
      <c r="C96" s="18" t="str">
        <f t="shared" si="20"/>
        <v>Jun 2026</v>
      </c>
      <c r="D96" s="37">
        <v>46192</v>
      </c>
      <c r="E96" s="17" t="str">
        <f t="shared" si="21"/>
        <v>Friday</v>
      </c>
      <c r="F96" s="38">
        <v>12</v>
      </c>
      <c r="G96" s="39">
        <f t="shared" si="22"/>
        <v>96</v>
      </c>
      <c r="H96" s="38">
        <v>30.53</v>
      </c>
      <c r="I96" s="38">
        <f t="shared" si="23"/>
        <v>126.53</v>
      </c>
      <c r="J96" s="40"/>
      <c r="K96" s="41">
        <f t="shared" si="24"/>
        <v>0</v>
      </c>
      <c r="L96" s="40"/>
      <c r="M96" s="40">
        <f t="shared" si="25"/>
        <v>0</v>
      </c>
      <c r="N96" s="42"/>
      <c r="O96" s="43">
        <f t="shared" si="26"/>
        <v>0</v>
      </c>
      <c r="P96" s="42"/>
      <c r="Q96" s="42">
        <f t="shared" si="27"/>
        <v>0</v>
      </c>
      <c r="R96" s="44">
        <f t="shared" si="28"/>
        <v>12</v>
      </c>
      <c r="S96" s="45">
        <f t="shared" si="29"/>
        <v>96</v>
      </c>
      <c r="T96" s="44">
        <f t="shared" si="30"/>
        <v>126.53</v>
      </c>
      <c r="U96" s="46">
        <f t="shared" si="31"/>
        <v>30.53</v>
      </c>
      <c r="V96" s="47"/>
      <c r="W96" s="48">
        <f t="shared" si="32"/>
        <v>0</v>
      </c>
      <c r="X96" s="49"/>
      <c r="Y96" s="50">
        <f t="shared" si="33"/>
        <v>0</v>
      </c>
      <c r="Z96" s="51"/>
      <c r="AA96" s="52">
        <f t="shared" si="34"/>
        <v>0</v>
      </c>
      <c r="AB96" s="36">
        <v>7</v>
      </c>
      <c r="AC96" s="36">
        <v>61</v>
      </c>
      <c r="AD96" s="29">
        <f t="shared" si="35"/>
        <v>187.53</v>
      </c>
    </row>
    <row r="97" spans="1:30" ht="15" customHeight="1" x14ac:dyDescent="0.25">
      <c r="A97" s="17">
        <f t="shared" si="18"/>
        <v>46187</v>
      </c>
      <c r="B97" s="18">
        <f t="shared" si="19"/>
        <v>7</v>
      </c>
      <c r="C97" s="18" t="str">
        <f t="shared" si="20"/>
        <v>Jun 2026</v>
      </c>
      <c r="D97" s="37">
        <v>46193</v>
      </c>
      <c r="E97" s="17" t="str">
        <f t="shared" si="21"/>
        <v>Saturday</v>
      </c>
      <c r="F97" s="38">
        <v>15</v>
      </c>
      <c r="G97" s="39">
        <f t="shared" si="22"/>
        <v>120</v>
      </c>
      <c r="H97" s="38">
        <v>6.83</v>
      </c>
      <c r="I97" s="38">
        <f t="shared" si="23"/>
        <v>126.83</v>
      </c>
      <c r="J97" s="40">
        <v>12</v>
      </c>
      <c r="K97" s="41">
        <f t="shared" si="24"/>
        <v>96</v>
      </c>
      <c r="L97" s="40">
        <v>24.52</v>
      </c>
      <c r="M97" s="40">
        <f t="shared" si="25"/>
        <v>120.52</v>
      </c>
      <c r="N97" s="42">
        <v>15</v>
      </c>
      <c r="O97" s="43">
        <f t="shared" si="26"/>
        <v>120</v>
      </c>
      <c r="P97" s="42">
        <v>41.22</v>
      </c>
      <c r="Q97" s="42">
        <f t="shared" si="27"/>
        <v>161.22</v>
      </c>
      <c r="R97" s="44">
        <f t="shared" si="28"/>
        <v>42</v>
      </c>
      <c r="S97" s="45">
        <f t="shared" si="29"/>
        <v>336</v>
      </c>
      <c r="T97" s="44">
        <f t="shared" si="30"/>
        <v>408.57000000000005</v>
      </c>
      <c r="U97" s="46">
        <f t="shared" si="31"/>
        <v>72.57000000000005</v>
      </c>
      <c r="V97" s="47"/>
      <c r="W97" s="48">
        <f t="shared" si="32"/>
        <v>0</v>
      </c>
      <c r="X97" s="49"/>
      <c r="Y97" s="50">
        <f t="shared" si="33"/>
        <v>0</v>
      </c>
      <c r="Z97" s="51"/>
      <c r="AA97" s="52">
        <f t="shared" si="34"/>
        <v>0</v>
      </c>
      <c r="AB97" s="36">
        <v>23</v>
      </c>
      <c r="AC97" s="36">
        <v>220</v>
      </c>
      <c r="AD97" s="29">
        <f t="shared" si="35"/>
        <v>628.57000000000005</v>
      </c>
    </row>
    <row r="98" spans="1:30" ht="15" customHeight="1" x14ac:dyDescent="0.25">
      <c r="A98" s="17">
        <f t="shared" si="18"/>
        <v>46194</v>
      </c>
      <c r="B98" s="18">
        <f t="shared" si="19"/>
        <v>1</v>
      </c>
      <c r="C98" s="18" t="str">
        <f t="shared" si="20"/>
        <v>Jun 2026</v>
      </c>
      <c r="D98" s="37">
        <v>46194</v>
      </c>
      <c r="E98" s="17" t="str">
        <f t="shared" si="21"/>
        <v>Sunday</v>
      </c>
      <c r="F98" s="38">
        <v>14</v>
      </c>
      <c r="G98" s="39">
        <f t="shared" si="22"/>
        <v>112</v>
      </c>
      <c r="H98" s="38">
        <v>28.1</v>
      </c>
      <c r="I98" s="38">
        <f t="shared" si="23"/>
        <v>140.1</v>
      </c>
      <c r="J98" s="40">
        <v>12</v>
      </c>
      <c r="K98" s="41">
        <f t="shared" si="24"/>
        <v>96</v>
      </c>
      <c r="L98" s="40">
        <v>13.68</v>
      </c>
      <c r="M98" s="40">
        <f t="shared" si="25"/>
        <v>109.68</v>
      </c>
      <c r="N98" s="42">
        <v>15</v>
      </c>
      <c r="O98" s="43">
        <f t="shared" si="26"/>
        <v>120</v>
      </c>
      <c r="P98" s="42">
        <v>12.35</v>
      </c>
      <c r="Q98" s="42">
        <f t="shared" si="27"/>
        <v>132.35</v>
      </c>
      <c r="R98" s="44">
        <f t="shared" si="28"/>
        <v>41</v>
      </c>
      <c r="S98" s="45">
        <f t="shared" si="29"/>
        <v>328</v>
      </c>
      <c r="T98" s="44">
        <f t="shared" si="30"/>
        <v>382.13</v>
      </c>
      <c r="U98" s="46">
        <f t="shared" si="31"/>
        <v>54.129999999999995</v>
      </c>
      <c r="V98" s="47"/>
      <c r="W98" s="48">
        <f t="shared" si="32"/>
        <v>0</v>
      </c>
      <c r="X98" s="49"/>
      <c r="Y98" s="50">
        <f t="shared" si="33"/>
        <v>0</v>
      </c>
      <c r="Z98" s="51"/>
      <c r="AA98" s="52">
        <f t="shared" si="34"/>
        <v>0</v>
      </c>
      <c r="AB98" s="36">
        <v>20</v>
      </c>
      <c r="AC98" s="36">
        <v>184.75</v>
      </c>
      <c r="AD98" s="29">
        <f t="shared" si="35"/>
        <v>566.88</v>
      </c>
    </row>
    <row r="99" spans="1:30" ht="15" customHeight="1" x14ac:dyDescent="0.25">
      <c r="A99" s="17">
        <f t="shared" si="18"/>
        <v>46194</v>
      </c>
      <c r="B99" s="18">
        <f t="shared" si="19"/>
        <v>2</v>
      </c>
      <c r="C99" s="18" t="str">
        <f t="shared" si="20"/>
        <v>Jun 2026</v>
      </c>
      <c r="D99" s="37">
        <v>46195</v>
      </c>
      <c r="E99" s="17" t="str">
        <f t="shared" si="21"/>
        <v>Monday</v>
      </c>
      <c r="F99" s="38">
        <v>17</v>
      </c>
      <c r="G99" s="39">
        <f t="shared" si="22"/>
        <v>136</v>
      </c>
      <c r="H99" s="38">
        <v>38.17</v>
      </c>
      <c r="I99" s="38">
        <f t="shared" si="23"/>
        <v>174.17000000000002</v>
      </c>
      <c r="J99" s="40">
        <v>13</v>
      </c>
      <c r="K99" s="41">
        <f t="shared" si="24"/>
        <v>104</v>
      </c>
      <c r="L99" s="40">
        <v>14.03</v>
      </c>
      <c r="M99" s="40">
        <f t="shared" si="25"/>
        <v>118.03</v>
      </c>
      <c r="N99" s="42">
        <v>13</v>
      </c>
      <c r="O99" s="43">
        <f t="shared" si="26"/>
        <v>104</v>
      </c>
      <c r="P99" s="42">
        <v>19.03</v>
      </c>
      <c r="Q99" s="42">
        <f t="shared" si="27"/>
        <v>123.03</v>
      </c>
      <c r="R99" s="44">
        <f t="shared" si="28"/>
        <v>43</v>
      </c>
      <c r="S99" s="45">
        <f t="shared" si="29"/>
        <v>344</v>
      </c>
      <c r="T99" s="44">
        <f t="shared" si="30"/>
        <v>415.23</v>
      </c>
      <c r="U99" s="46">
        <f t="shared" si="31"/>
        <v>71.230000000000018</v>
      </c>
      <c r="V99" s="47"/>
      <c r="W99" s="48">
        <f t="shared" si="32"/>
        <v>0</v>
      </c>
      <c r="X99" s="49"/>
      <c r="Y99" s="50">
        <f t="shared" si="33"/>
        <v>0</v>
      </c>
      <c r="Z99" s="51"/>
      <c r="AA99" s="52">
        <f t="shared" si="34"/>
        <v>0</v>
      </c>
      <c r="AB99" s="36">
        <v>16</v>
      </c>
      <c r="AC99" s="36">
        <v>153.75</v>
      </c>
      <c r="AD99" s="29">
        <f t="shared" si="35"/>
        <v>568.98</v>
      </c>
    </row>
    <row r="100" spans="1:30" ht="15" customHeight="1" x14ac:dyDescent="0.25">
      <c r="A100" s="17">
        <f t="shared" si="18"/>
        <v>46194</v>
      </c>
      <c r="B100" s="18">
        <f t="shared" si="19"/>
        <v>3</v>
      </c>
      <c r="C100" s="18" t="str">
        <f t="shared" si="20"/>
        <v>Jun 2026</v>
      </c>
      <c r="D100" s="37">
        <v>46196</v>
      </c>
      <c r="E100" s="17" t="str">
        <f t="shared" si="21"/>
        <v>Tuesday</v>
      </c>
      <c r="F100" s="38">
        <v>19</v>
      </c>
      <c r="G100" s="39">
        <f t="shared" si="22"/>
        <v>152</v>
      </c>
      <c r="H100" s="38">
        <v>27.3</v>
      </c>
      <c r="I100" s="38">
        <f t="shared" si="23"/>
        <v>179.3</v>
      </c>
      <c r="J100" s="40">
        <v>13</v>
      </c>
      <c r="K100" s="41">
        <f t="shared" si="24"/>
        <v>104</v>
      </c>
      <c r="L100" s="40">
        <v>12.2</v>
      </c>
      <c r="M100" s="40">
        <f t="shared" si="25"/>
        <v>116.2</v>
      </c>
      <c r="N100" s="42">
        <v>13</v>
      </c>
      <c r="O100" s="43">
        <f t="shared" si="26"/>
        <v>104</v>
      </c>
      <c r="P100" s="42">
        <v>23.2</v>
      </c>
      <c r="Q100" s="42">
        <f t="shared" si="27"/>
        <v>127.2</v>
      </c>
      <c r="R100" s="44">
        <f t="shared" si="28"/>
        <v>45</v>
      </c>
      <c r="S100" s="45">
        <f t="shared" si="29"/>
        <v>360</v>
      </c>
      <c r="T100" s="44">
        <f t="shared" si="30"/>
        <v>422.7</v>
      </c>
      <c r="U100" s="46">
        <f t="shared" si="31"/>
        <v>62.699999999999989</v>
      </c>
      <c r="V100" s="47"/>
      <c r="W100" s="48">
        <f t="shared" si="32"/>
        <v>0</v>
      </c>
      <c r="X100" s="49"/>
      <c r="Y100" s="50">
        <f t="shared" si="33"/>
        <v>0</v>
      </c>
      <c r="Z100" s="51"/>
      <c r="AA100" s="52">
        <f t="shared" si="34"/>
        <v>0</v>
      </c>
      <c r="AB100" s="36">
        <v>17</v>
      </c>
      <c r="AC100" s="36">
        <v>169.5</v>
      </c>
      <c r="AD100" s="29">
        <f t="shared" si="35"/>
        <v>592.20000000000005</v>
      </c>
    </row>
    <row r="101" spans="1:30" ht="15" customHeight="1" x14ac:dyDescent="0.25">
      <c r="A101" s="17">
        <f t="shared" si="18"/>
        <v>46194</v>
      </c>
      <c r="B101" s="18">
        <f t="shared" si="19"/>
        <v>4</v>
      </c>
      <c r="C101" s="18" t="str">
        <f t="shared" si="20"/>
        <v>Jun 2026</v>
      </c>
      <c r="D101" s="37">
        <v>46197</v>
      </c>
      <c r="E101" s="17" t="str">
        <f t="shared" si="21"/>
        <v>Wednesday</v>
      </c>
      <c r="F101" s="38">
        <v>20</v>
      </c>
      <c r="G101" s="39">
        <f t="shared" si="22"/>
        <v>160</v>
      </c>
      <c r="H101" s="38">
        <v>21.7</v>
      </c>
      <c r="I101" s="38">
        <f t="shared" si="23"/>
        <v>181.7</v>
      </c>
      <c r="J101" s="40">
        <v>14</v>
      </c>
      <c r="K101" s="41">
        <f t="shared" si="24"/>
        <v>112</v>
      </c>
      <c r="L101" s="40">
        <v>10.85</v>
      </c>
      <c r="M101" s="40">
        <f t="shared" si="25"/>
        <v>122.85</v>
      </c>
      <c r="N101" s="42">
        <v>14</v>
      </c>
      <c r="O101" s="43">
        <f t="shared" si="26"/>
        <v>112</v>
      </c>
      <c r="P101" s="42">
        <v>9.6199999999999992</v>
      </c>
      <c r="Q101" s="42">
        <f t="shared" si="27"/>
        <v>121.62</v>
      </c>
      <c r="R101" s="44">
        <f t="shared" si="28"/>
        <v>48</v>
      </c>
      <c r="S101" s="45">
        <f t="shared" si="29"/>
        <v>384</v>
      </c>
      <c r="T101" s="44">
        <f t="shared" si="30"/>
        <v>426.17</v>
      </c>
      <c r="U101" s="46">
        <f t="shared" si="31"/>
        <v>42.170000000000016</v>
      </c>
      <c r="V101" s="47"/>
      <c r="W101" s="48">
        <f t="shared" si="32"/>
        <v>0</v>
      </c>
      <c r="X101" s="49"/>
      <c r="Y101" s="50">
        <f t="shared" si="33"/>
        <v>0</v>
      </c>
      <c r="Z101" s="51"/>
      <c r="AA101" s="52">
        <f t="shared" si="34"/>
        <v>0</v>
      </c>
      <c r="AB101" s="36">
        <v>17</v>
      </c>
      <c r="AC101" s="36">
        <v>164.75</v>
      </c>
      <c r="AD101" s="29">
        <f t="shared" si="35"/>
        <v>590.92000000000007</v>
      </c>
    </row>
    <row r="102" spans="1:30" ht="15" customHeight="1" x14ac:dyDescent="0.25">
      <c r="A102" s="17">
        <f t="shared" si="18"/>
        <v>46194</v>
      </c>
      <c r="B102" s="18">
        <f t="shared" si="19"/>
        <v>5</v>
      </c>
      <c r="C102" s="18" t="str">
        <f t="shared" si="20"/>
        <v>Jun 2026</v>
      </c>
      <c r="D102" s="37">
        <v>46198</v>
      </c>
      <c r="E102" s="17" t="str">
        <f t="shared" si="21"/>
        <v>Thursday</v>
      </c>
      <c r="F102" s="38">
        <v>20</v>
      </c>
      <c r="G102" s="39">
        <f t="shared" si="22"/>
        <v>160</v>
      </c>
      <c r="H102" s="38">
        <v>12.1</v>
      </c>
      <c r="I102" s="38">
        <f t="shared" si="23"/>
        <v>172.1</v>
      </c>
      <c r="J102" s="40">
        <v>13</v>
      </c>
      <c r="K102" s="41">
        <f t="shared" si="24"/>
        <v>104</v>
      </c>
      <c r="L102" s="40">
        <v>31.15</v>
      </c>
      <c r="M102" s="40">
        <f t="shared" si="25"/>
        <v>135.15</v>
      </c>
      <c r="N102" s="42">
        <v>13</v>
      </c>
      <c r="O102" s="43">
        <f t="shared" si="26"/>
        <v>104</v>
      </c>
      <c r="P102" s="42">
        <v>20.5</v>
      </c>
      <c r="Q102" s="42">
        <f t="shared" si="27"/>
        <v>124.5</v>
      </c>
      <c r="R102" s="44">
        <f t="shared" si="28"/>
        <v>46</v>
      </c>
      <c r="S102" s="45">
        <f t="shared" si="29"/>
        <v>368</v>
      </c>
      <c r="T102" s="44">
        <f t="shared" si="30"/>
        <v>431.75</v>
      </c>
      <c r="U102" s="46">
        <f t="shared" si="31"/>
        <v>63.75</v>
      </c>
      <c r="V102" s="47"/>
      <c r="W102" s="48">
        <f t="shared" si="32"/>
        <v>0</v>
      </c>
      <c r="X102" s="49"/>
      <c r="Y102" s="50">
        <f t="shared" si="33"/>
        <v>0</v>
      </c>
      <c r="Z102" s="51"/>
      <c r="AA102" s="52">
        <f t="shared" si="34"/>
        <v>0</v>
      </c>
      <c r="AB102" s="36">
        <v>23</v>
      </c>
      <c r="AC102" s="36">
        <v>216.9</v>
      </c>
      <c r="AD102" s="29">
        <f t="shared" si="35"/>
        <v>648.65</v>
      </c>
    </row>
    <row r="103" spans="1:30" ht="15" customHeight="1" x14ac:dyDescent="0.25">
      <c r="A103" s="17">
        <f t="shared" si="18"/>
        <v>46194</v>
      </c>
      <c r="B103" s="18">
        <f t="shared" si="19"/>
        <v>6</v>
      </c>
      <c r="C103" s="18" t="str">
        <f t="shared" si="20"/>
        <v>Jun 2026</v>
      </c>
      <c r="D103" s="37">
        <v>46199</v>
      </c>
      <c r="E103" s="17" t="str">
        <f t="shared" si="21"/>
        <v>Friday</v>
      </c>
      <c r="F103" s="38">
        <v>16</v>
      </c>
      <c r="G103" s="39">
        <f t="shared" si="22"/>
        <v>128</v>
      </c>
      <c r="H103" s="38">
        <v>24.43</v>
      </c>
      <c r="I103" s="38">
        <f t="shared" si="23"/>
        <v>152.43</v>
      </c>
      <c r="J103" s="40"/>
      <c r="K103" s="41">
        <f t="shared" si="24"/>
        <v>0</v>
      </c>
      <c r="L103" s="40"/>
      <c r="M103" s="40">
        <f t="shared" si="25"/>
        <v>0</v>
      </c>
      <c r="N103" s="42"/>
      <c r="O103" s="43">
        <f t="shared" si="26"/>
        <v>0</v>
      </c>
      <c r="P103" s="42"/>
      <c r="Q103" s="42">
        <f t="shared" si="27"/>
        <v>0</v>
      </c>
      <c r="R103" s="44">
        <f t="shared" si="28"/>
        <v>16</v>
      </c>
      <c r="S103" s="45">
        <f t="shared" si="29"/>
        <v>128</v>
      </c>
      <c r="T103" s="44">
        <f t="shared" si="30"/>
        <v>152.43</v>
      </c>
      <c r="U103" s="46">
        <f t="shared" si="31"/>
        <v>24.430000000000007</v>
      </c>
      <c r="V103" s="47"/>
      <c r="W103" s="48">
        <f t="shared" si="32"/>
        <v>0</v>
      </c>
      <c r="X103" s="49"/>
      <c r="Y103" s="50">
        <f t="shared" si="33"/>
        <v>0</v>
      </c>
      <c r="Z103" s="51"/>
      <c r="AA103" s="52">
        <f t="shared" si="34"/>
        <v>0</v>
      </c>
      <c r="AB103" s="36">
        <v>10</v>
      </c>
      <c r="AC103" s="36">
        <v>75</v>
      </c>
      <c r="AD103" s="29">
        <f t="shared" si="35"/>
        <v>227.43</v>
      </c>
    </row>
    <row r="104" spans="1:30" ht="15" customHeight="1" x14ac:dyDescent="0.25">
      <c r="A104" s="17">
        <f t="shared" si="18"/>
        <v>46194</v>
      </c>
      <c r="B104" s="18">
        <f t="shared" si="19"/>
        <v>7</v>
      </c>
      <c r="C104" s="18" t="str">
        <f t="shared" si="20"/>
        <v>Jun 2026</v>
      </c>
      <c r="D104" s="37">
        <v>46200</v>
      </c>
      <c r="E104" s="17" t="str">
        <f t="shared" si="21"/>
        <v>Saturday</v>
      </c>
      <c r="F104" s="38">
        <v>16</v>
      </c>
      <c r="G104" s="39">
        <f t="shared" si="22"/>
        <v>128</v>
      </c>
      <c r="H104" s="38">
        <v>9.1</v>
      </c>
      <c r="I104" s="38">
        <f t="shared" si="23"/>
        <v>137.1</v>
      </c>
      <c r="J104" s="40">
        <v>12</v>
      </c>
      <c r="K104" s="41">
        <f t="shared" si="24"/>
        <v>96</v>
      </c>
      <c r="L104" s="40">
        <v>22.4</v>
      </c>
      <c r="M104" s="40">
        <f t="shared" si="25"/>
        <v>118.4</v>
      </c>
      <c r="N104" s="42">
        <v>14</v>
      </c>
      <c r="O104" s="43">
        <f t="shared" si="26"/>
        <v>112</v>
      </c>
      <c r="P104" s="42">
        <v>23.27</v>
      </c>
      <c r="Q104" s="42">
        <f t="shared" si="27"/>
        <v>135.27000000000001</v>
      </c>
      <c r="R104" s="44">
        <f t="shared" si="28"/>
        <v>42</v>
      </c>
      <c r="S104" s="45">
        <f t="shared" si="29"/>
        <v>336</v>
      </c>
      <c r="T104" s="44">
        <f t="shared" si="30"/>
        <v>390.77</v>
      </c>
      <c r="U104" s="46">
        <f t="shared" si="31"/>
        <v>54.769999999999982</v>
      </c>
      <c r="V104" s="47"/>
      <c r="W104" s="48">
        <f t="shared" si="32"/>
        <v>0</v>
      </c>
      <c r="X104" s="49"/>
      <c r="Y104" s="50">
        <f t="shared" si="33"/>
        <v>0</v>
      </c>
      <c r="Z104" s="51"/>
      <c r="AA104" s="52">
        <f t="shared" si="34"/>
        <v>0</v>
      </c>
      <c r="AB104" s="36">
        <v>29</v>
      </c>
      <c r="AC104" s="36">
        <v>279</v>
      </c>
      <c r="AD104" s="29">
        <f t="shared" si="35"/>
        <v>669.77</v>
      </c>
    </row>
    <row r="105" spans="1:30" ht="15" customHeight="1" x14ac:dyDescent="0.25">
      <c r="A105" s="17">
        <f t="shared" si="18"/>
        <v>46201</v>
      </c>
      <c r="B105" s="18">
        <f t="shared" si="19"/>
        <v>1</v>
      </c>
      <c r="C105" s="18" t="str">
        <f t="shared" si="20"/>
        <v>Jun 2026</v>
      </c>
      <c r="D105" s="37">
        <v>46201</v>
      </c>
      <c r="E105" s="17" t="str">
        <f t="shared" si="21"/>
        <v>Sunday</v>
      </c>
      <c r="F105" s="38">
        <v>14</v>
      </c>
      <c r="G105" s="39">
        <f t="shared" si="22"/>
        <v>112</v>
      </c>
      <c r="H105" s="38">
        <v>18</v>
      </c>
      <c r="I105" s="38">
        <f t="shared" si="23"/>
        <v>130</v>
      </c>
      <c r="J105" s="40">
        <v>11</v>
      </c>
      <c r="K105" s="41">
        <f t="shared" si="24"/>
        <v>88</v>
      </c>
      <c r="L105" s="40">
        <v>12.87</v>
      </c>
      <c r="M105" s="40">
        <f t="shared" si="25"/>
        <v>100.87</v>
      </c>
      <c r="N105" s="42">
        <v>14</v>
      </c>
      <c r="O105" s="43">
        <f t="shared" si="26"/>
        <v>112</v>
      </c>
      <c r="P105" s="42">
        <v>-21.35</v>
      </c>
      <c r="Q105" s="42">
        <f t="shared" si="27"/>
        <v>90.65</v>
      </c>
      <c r="R105" s="44">
        <f t="shared" si="28"/>
        <v>39</v>
      </c>
      <c r="S105" s="45">
        <f t="shared" si="29"/>
        <v>312</v>
      </c>
      <c r="T105" s="44">
        <f t="shared" si="30"/>
        <v>321.52</v>
      </c>
      <c r="U105" s="46">
        <f t="shared" si="31"/>
        <v>9.5199999999999818</v>
      </c>
      <c r="V105" s="47"/>
      <c r="W105" s="48">
        <f t="shared" si="32"/>
        <v>0</v>
      </c>
      <c r="X105" s="49"/>
      <c r="Y105" s="50">
        <f t="shared" si="33"/>
        <v>0</v>
      </c>
      <c r="Z105" s="51"/>
      <c r="AA105" s="52">
        <f t="shared" si="34"/>
        <v>0</v>
      </c>
      <c r="AB105" s="36">
        <v>25</v>
      </c>
      <c r="AC105" s="36">
        <v>212.6</v>
      </c>
      <c r="AD105" s="29">
        <f t="shared" si="35"/>
        <v>534.12</v>
      </c>
    </row>
    <row r="106" spans="1:30" ht="15" customHeight="1" x14ac:dyDescent="0.25">
      <c r="A106" s="17">
        <f t="shared" si="18"/>
        <v>46201</v>
      </c>
      <c r="B106" s="18">
        <f t="shared" si="19"/>
        <v>2</v>
      </c>
      <c r="C106" s="18" t="str">
        <f t="shared" si="20"/>
        <v>Jun 2026</v>
      </c>
      <c r="D106" s="37">
        <v>46202</v>
      </c>
      <c r="E106" s="17" t="str">
        <f t="shared" si="21"/>
        <v>Monday</v>
      </c>
      <c r="F106" s="38">
        <v>17</v>
      </c>
      <c r="G106" s="39">
        <f t="shared" si="22"/>
        <v>136</v>
      </c>
      <c r="H106" s="38">
        <v>26.08</v>
      </c>
      <c r="I106" s="38">
        <f t="shared" si="23"/>
        <v>162.07999999999998</v>
      </c>
      <c r="J106" s="40">
        <v>12</v>
      </c>
      <c r="K106" s="41">
        <f t="shared" si="24"/>
        <v>96</v>
      </c>
      <c r="L106" s="40">
        <v>13.88</v>
      </c>
      <c r="M106" s="40">
        <f t="shared" si="25"/>
        <v>109.88</v>
      </c>
      <c r="N106" s="42">
        <v>15</v>
      </c>
      <c r="O106" s="43">
        <f t="shared" si="26"/>
        <v>120</v>
      </c>
      <c r="P106" s="42">
        <v>-4.87</v>
      </c>
      <c r="Q106" s="42">
        <f t="shared" si="27"/>
        <v>115.13</v>
      </c>
      <c r="R106" s="44">
        <f t="shared" si="28"/>
        <v>44</v>
      </c>
      <c r="S106" s="45">
        <f t="shared" si="29"/>
        <v>352</v>
      </c>
      <c r="T106" s="44">
        <f t="shared" si="30"/>
        <v>387.09</v>
      </c>
      <c r="U106" s="46">
        <f t="shared" si="31"/>
        <v>35.089999999999975</v>
      </c>
      <c r="V106" s="47"/>
      <c r="W106" s="48">
        <f t="shared" si="32"/>
        <v>0</v>
      </c>
      <c r="X106" s="49"/>
      <c r="Y106" s="50">
        <f t="shared" si="33"/>
        <v>0</v>
      </c>
      <c r="Z106" s="51"/>
      <c r="AA106" s="52">
        <f t="shared" si="34"/>
        <v>0</v>
      </c>
      <c r="AB106" s="36">
        <v>24</v>
      </c>
      <c r="AC106" s="36">
        <v>212.5</v>
      </c>
      <c r="AD106" s="29">
        <f t="shared" si="35"/>
        <v>599.58999999999992</v>
      </c>
    </row>
    <row r="107" spans="1:30" ht="15" customHeight="1" x14ac:dyDescent="0.25">
      <c r="A107" s="17">
        <f t="shared" si="18"/>
        <v>46201</v>
      </c>
      <c r="B107" s="18">
        <f t="shared" si="19"/>
        <v>3</v>
      </c>
      <c r="C107" s="18" t="str">
        <f t="shared" si="20"/>
        <v>Jun 2026</v>
      </c>
      <c r="D107" s="37">
        <v>46203</v>
      </c>
      <c r="E107" s="17" t="str">
        <f t="shared" si="21"/>
        <v>Tuesday</v>
      </c>
      <c r="F107" s="38">
        <v>16</v>
      </c>
      <c r="G107" s="39">
        <f t="shared" si="22"/>
        <v>128</v>
      </c>
      <c r="H107" s="38">
        <v>13.9</v>
      </c>
      <c r="I107" s="38">
        <f t="shared" si="23"/>
        <v>141.9</v>
      </c>
      <c r="J107" s="40">
        <v>13</v>
      </c>
      <c r="K107" s="41">
        <f t="shared" si="24"/>
        <v>104</v>
      </c>
      <c r="L107" s="40">
        <v>8.1300000000000008</v>
      </c>
      <c r="M107" s="40">
        <f t="shared" si="25"/>
        <v>112.13</v>
      </c>
      <c r="N107" s="42">
        <v>13</v>
      </c>
      <c r="O107" s="43">
        <f t="shared" si="26"/>
        <v>104</v>
      </c>
      <c r="P107" s="42">
        <v>0.9</v>
      </c>
      <c r="Q107" s="42">
        <f t="shared" si="27"/>
        <v>104.9</v>
      </c>
      <c r="R107" s="44">
        <f t="shared" si="28"/>
        <v>42</v>
      </c>
      <c r="S107" s="45">
        <f t="shared" si="29"/>
        <v>336</v>
      </c>
      <c r="T107" s="44">
        <f t="shared" si="30"/>
        <v>358.92999999999995</v>
      </c>
      <c r="U107" s="46">
        <f t="shared" si="31"/>
        <v>22.92999999999995</v>
      </c>
      <c r="V107" s="47"/>
      <c r="W107" s="48">
        <f t="shared" si="32"/>
        <v>0</v>
      </c>
      <c r="X107" s="49"/>
      <c r="Y107" s="50">
        <f t="shared" si="33"/>
        <v>0</v>
      </c>
      <c r="Z107" s="51"/>
      <c r="AA107" s="52">
        <f t="shared" si="34"/>
        <v>0</v>
      </c>
      <c r="AB107" s="36">
        <v>19</v>
      </c>
      <c r="AC107" s="36">
        <v>164.6</v>
      </c>
      <c r="AD107" s="29">
        <f t="shared" si="35"/>
        <v>523.53</v>
      </c>
    </row>
    <row r="108" spans="1:30" ht="15" customHeight="1" x14ac:dyDescent="0.25">
      <c r="A108" s="17">
        <f t="shared" si="18"/>
        <v>46201</v>
      </c>
      <c r="B108" s="18">
        <f t="shared" si="19"/>
        <v>4</v>
      </c>
      <c r="C108" s="18" t="str">
        <f t="shared" si="20"/>
        <v>Jul 2026</v>
      </c>
      <c r="D108" s="37">
        <v>46204</v>
      </c>
      <c r="E108" s="17" t="str">
        <f t="shared" si="21"/>
        <v>Wednesday</v>
      </c>
      <c r="F108" s="38">
        <v>17</v>
      </c>
      <c r="G108" s="39">
        <f t="shared" si="22"/>
        <v>136</v>
      </c>
      <c r="H108" s="38">
        <v>13.5</v>
      </c>
      <c r="I108" s="38">
        <f t="shared" si="23"/>
        <v>149.5</v>
      </c>
      <c r="J108" s="40">
        <v>12</v>
      </c>
      <c r="K108" s="41">
        <f t="shared" si="24"/>
        <v>96</v>
      </c>
      <c r="L108" s="40">
        <v>5.2</v>
      </c>
      <c r="M108" s="40">
        <f t="shared" si="25"/>
        <v>101.2</v>
      </c>
      <c r="N108" s="42">
        <v>14</v>
      </c>
      <c r="O108" s="43">
        <f t="shared" si="26"/>
        <v>112</v>
      </c>
      <c r="P108" s="42">
        <v>7.72</v>
      </c>
      <c r="Q108" s="42">
        <f t="shared" si="27"/>
        <v>119.72</v>
      </c>
      <c r="R108" s="44">
        <f t="shared" si="28"/>
        <v>43</v>
      </c>
      <c r="S108" s="45">
        <f t="shared" si="29"/>
        <v>344</v>
      </c>
      <c r="T108" s="44">
        <f t="shared" si="30"/>
        <v>370.42</v>
      </c>
      <c r="U108" s="46">
        <f t="shared" si="31"/>
        <v>26.420000000000016</v>
      </c>
      <c r="V108" s="47"/>
      <c r="W108" s="48">
        <f t="shared" si="32"/>
        <v>0</v>
      </c>
      <c r="X108" s="49"/>
      <c r="Y108" s="50">
        <f t="shared" si="33"/>
        <v>0</v>
      </c>
      <c r="Z108" s="51"/>
      <c r="AA108" s="52">
        <f t="shared" si="34"/>
        <v>0</v>
      </c>
      <c r="AB108" s="36">
        <v>22</v>
      </c>
      <c r="AC108" s="36">
        <v>179.75</v>
      </c>
      <c r="AD108" s="29">
        <f t="shared" si="35"/>
        <v>550.17000000000007</v>
      </c>
    </row>
    <row r="109" spans="1:30" ht="15" customHeight="1" x14ac:dyDescent="0.25">
      <c r="A109" s="17">
        <f t="shared" si="18"/>
        <v>46201</v>
      </c>
      <c r="B109" s="18">
        <f t="shared" si="19"/>
        <v>5</v>
      </c>
      <c r="C109" s="18" t="str">
        <f t="shared" si="20"/>
        <v>Jul 2026</v>
      </c>
      <c r="D109" s="37">
        <v>46205</v>
      </c>
      <c r="E109" s="17" t="str">
        <f t="shared" si="21"/>
        <v>Thursday</v>
      </c>
      <c r="F109" s="38">
        <v>20</v>
      </c>
      <c r="G109" s="39">
        <f t="shared" si="22"/>
        <v>160</v>
      </c>
      <c r="H109" s="38">
        <v>25.38</v>
      </c>
      <c r="I109" s="38">
        <f t="shared" si="23"/>
        <v>185.38</v>
      </c>
      <c r="J109" s="40">
        <v>12</v>
      </c>
      <c r="K109" s="41">
        <f t="shared" si="24"/>
        <v>96</v>
      </c>
      <c r="L109" s="40">
        <v>20.12</v>
      </c>
      <c r="M109" s="40">
        <f t="shared" si="25"/>
        <v>116.12</v>
      </c>
      <c r="N109" s="42">
        <v>14</v>
      </c>
      <c r="O109" s="43">
        <f t="shared" si="26"/>
        <v>112</v>
      </c>
      <c r="P109" s="42">
        <v>23.75</v>
      </c>
      <c r="Q109" s="42">
        <f t="shared" si="27"/>
        <v>135.75</v>
      </c>
      <c r="R109" s="44">
        <f t="shared" si="28"/>
        <v>46</v>
      </c>
      <c r="S109" s="45">
        <f t="shared" si="29"/>
        <v>368</v>
      </c>
      <c r="T109" s="44">
        <f t="shared" si="30"/>
        <v>437.25</v>
      </c>
      <c r="U109" s="46">
        <f t="shared" si="31"/>
        <v>69.25</v>
      </c>
      <c r="V109" s="47"/>
      <c r="W109" s="48">
        <f t="shared" si="32"/>
        <v>0</v>
      </c>
      <c r="X109" s="49"/>
      <c r="Y109" s="50">
        <f t="shared" si="33"/>
        <v>0</v>
      </c>
      <c r="Z109" s="51"/>
      <c r="AA109" s="52">
        <f t="shared" si="34"/>
        <v>0</v>
      </c>
      <c r="AB109" s="36">
        <v>26</v>
      </c>
      <c r="AC109" s="36">
        <v>203.75</v>
      </c>
      <c r="AD109" s="29">
        <f t="shared" si="35"/>
        <v>641</v>
      </c>
    </row>
    <row r="110" spans="1:30" ht="15" customHeight="1" x14ac:dyDescent="0.25">
      <c r="A110" s="17">
        <f t="shared" si="18"/>
        <v>46201</v>
      </c>
      <c r="B110" s="18">
        <f t="shared" si="19"/>
        <v>6</v>
      </c>
      <c r="C110" s="18" t="str">
        <f t="shared" si="20"/>
        <v>Jul 2026</v>
      </c>
      <c r="D110" s="37">
        <v>46206</v>
      </c>
      <c r="E110" s="17" t="str">
        <f t="shared" si="21"/>
        <v>Friday</v>
      </c>
      <c r="F110" s="38">
        <v>15</v>
      </c>
      <c r="G110" s="39">
        <f t="shared" si="22"/>
        <v>120</v>
      </c>
      <c r="H110" s="38">
        <v>20.58</v>
      </c>
      <c r="I110" s="38">
        <f t="shared" si="23"/>
        <v>140.57999999999998</v>
      </c>
      <c r="J110" s="40"/>
      <c r="K110" s="41">
        <f t="shared" si="24"/>
        <v>0</v>
      </c>
      <c r="L110" s="40"/>
      <c r="M110" s="40">
        <f t="shared" si="25"/>
        <v>0</v>
      </c>
      <c r="N110" s="42"/>
      <c r="O110" s="43">
        <f t="shared" si="26"/>
        <v>0</v>
      </c>
      <c r="P110" s="42"/>
      <c r="Q110" s="42">
        <f t="shared" si="27"/>
        <v>0</v>
      </c>
      <c r="R110" s="44">
        <f t="shared" si="28"/>
        <v>15</v>
      </c>
      <c r="S110" s="45">
        <f t="shared" si="29"/>
        <v>120</v>
      </c>
      <c r="T110" s="44">
        <f t="shared" si="30"/>
        <v>140.57999999999998</v>
      </c>
      <c r="U110" s="46">
        <f t="shared" si="31"/>
        <v>20.579999999999984</v>
      </c>
      <c r="V110" s="47"/>
      <c r="W110" s="48">
        <f t="shared" si="32"/>
        <v>0</v>
      </c>
      <c r="X110" s="49"/>
      <c r="Y110" s="50">
        <f t="shared" si="33"/>
        <v>0</v>
      </c>
      <c r="Z110" s="51"/>
      <c r="AA110" s="52">
        <f t="shared" si="34"/>
        <v>0</v>
      </c>
      <c r="AB110" s="36">
        <v>9</v>
      </c>
      <c r="AC110" s="36">
        <v>75.25</v>
      </c>
      <c r="AD110" s="29">
        <f t="shared" si="35"/>
        <v>215.82999999999998</v>
      </c>
    </row>
    <row r="111" spans="1:30" ht="15" customHeight="1" x14ac:dyDescent="0.25">
      <c r="A111" s="17">
        <f t="shared" si="18"/>
        <v>46201</v>
      </c>
      <c r="B111" s="18">
        <f t="shared" si="19"/>
        <v>7</v>
      </c>
      <c r="C111" s="18" t="str">
        <f t="shared" si="20"/>
        <v>Jul 2026</v>
      </c>
      <c r="D111" s="37">
        <v>46207</v>
      </c>
      <c r="E111" s="17" t="str">
        <f t="shared" si="21"/>
        <v>Saturday</v>
      </c>
      <c r="F111" s="38">
        <v>15</v>
      </c>
      <c r="G111" s="39">
        <f t="shared" si="22"/>
        <v>120</v>
      </c>
      <c r="H111" s="38">
        <v>10.15</v>
      </c>
      <c r="I111" s="38">
        <f t="shared" si="23"/>
        <v>130.15</v>
      </c>
      <c r="J111" s="40">
        <v>12</v>
      </c>
      <c r="K111" s="41">
        <f t="shared" si="24"/>
        <v>96</v>
      </c>
      <c r="L111" s="40">
        <v>24.3</v>
      </c>
      <c r="M111" s="40">
        <f t="shared" si="25"/>
        <v>120.3</v>
      </c>
      <c r="N111" s="42">
        <v>14</v>
      </c>
      <c r="O111" s="43">
        <f t="shared" si="26"/>
        <v>112</v>
      </c>
      <c r="P111" s="42">
        <v>26.88</v>
      </c>
      <c r="Q111" s="42">
        <f t="shared" si="27"/>
        <v>138.88</v>
      </c>
      <c r="R111" s="44">
        <f t="shared" si="28"/>
        <v>41</v>
      </c>
      <c r="S111" s="45">
        <f t="shared" si="29"/>
        <v>328</v>
      </c>
      <c r="T111" s="44">
        <f t="shared" si="30"/>
        <v>389.33000000000004</v>
      </c>
      <c r="U111" s="46">
        <f t="shared" si="31"/>
        <v>61.330000000000041</v>
      </c>
      <c r="V111" s="47"/>
      <c r="W111" s="48">
        <f t="shared" si="32"/>
        <v>0</v>
      </c>
      <c r="X111" s="49"/>
      <c r="Y111" s="50">
        <f t="shared" si="33"/>
        <v>0</v>
      </c>
      <c r="Z111" s="51"/>
      <c r="AA111" s="52">
        <f t="shared" si="34"/>
        <v>0</v>
      </c>
      <c r="AB111" s="36">
        <v>27</v>
      </c>
      <c r="AC111" s="36">
        <v>251</v>
      </c>
      <c r="AD111" s="29">
        <f t="shared" si="35"/>
        <v>640.33000000000004</v>
      </c>
    </row>
    <row r="112" spans="1:30" ht="15" customHeight="1" x14ac:dyDescent="0.25">
      <c r="A112" s="17">
        <f t="shared" si="18"/>
        <v>46208</v>
      </c>
      <c r="B112" s="18">
        <f t="shared" si="19"/>
        <v>1</v>
      </c>
      <c r="C112" s="18" t="str">
        <f t="shared" si="20"/>
        <v>Jul 2026</v>
      </c>
      <c r="D112" s="37">
        <v>46208</v>
      </c>
      <c r="E112" s="17" t="str">
        <f t="shared" si="21"/>
        <v>Sunday</v>
      </c>
      <c r="F112" s="38">
        <v>17</v>
      </c>
      <c r="G112" s="39">
        <f t="shared" si="22"/>
        <v>136</v>
      </c>
      <c r="H112" s="38">
        <v>21.18</v>
      </c>
      <c r="I112" s="38">
        <f t="shared" si="23"/>
        <v>157.18</v>
      </c>
      <c r="J112" s="40">
        <v>12</v>
      </c>
      <c r="K112" s="41">
        <f t="shared" si="24"/>
        <v>96</v>
      </c>
      <c r="L112" s="40">
        <v>10.77</v>
      </c>
      <c r="M112" s="40">
        <f t="shared" si="25"/>
        <v>106.77</v>
      </c>
      <c r="N112" s="42">
        <v>11</v>
      </c>
      <c r="O112" s="43">
        <f t="shared" si="26"/>
        <v>88</v>
      </c>
      <c r="P112" s="42">
        <v>8</v>
      </c>
      <c r="Q112" s="42">
        <f t="shared" si="27"/>
        <v>96</v>
      </c>
      <c r="R112" s="44">
        <f t="shared" si="28"/>
        <v>40</v>
      </c>
      <c r="S112" s="45">
        <f t="shared" si="29"/>
        <v>320</v>
      </c>
      <c r="T112" s="44">
        <f t="shared" si="30"/>
        <v>359.95</v>
      </c>
      <c r="U112" s="46">
        <f t="shared" si="31"/>
        <v>39.949999999999989</v>
      </c>
      <c r="V112" s="47"/>
      <c r="W112" s="48">
        <f t="shared" si="32"/>
        <v>0</v>
      </c>
      <c r="X112" s="49"/>
      <c r="Y112" s="50">
        <f t="shared" si="33"/>
        <v>0</v>
      </c>
      <c r="Z112" s="51"/>
      <c r="AA112" s="52">
        <f t="shared" si="34"/>
        <v>0</v>
      </c>
      <c r="AB112" s="36">
        <v>22</v>
      </c>
      <c r="AC112" s="36">
        <v>188.6</v>
      </c>
      <c r="AD112" s="29">
        <f t="shared" si="35"/>
        <v>548.54999999999995</v>
      </c>
    </row>
    <row r="113" spans="1:30" ht="15" customHeight="1" x14ac:dyDescent="0.25">
      <c r="A113" s="17">
        <f t="shared" si="18"/>
        <v>46208</v>
      </c>
      <c r="B113" s="18">
        <f t="shared" si="19"/>
        <v>2</v>
      </c>
      <c r="C113" s="18" t="str">
        <f t="shared" si="20"/>
        <v>Jul 2026</v>
      </c>
      <c r="D113" s="37">
        <v>46209</v>
      </c>
      <c r="E113" s="17" t="str">
        <f t="shared" si="21"/>
        <v>Monday</v>
      </c>
      <c r="F113" s="38">
        <v>19</v>
      </c>
      <c r="G113" s="39">
        <f t="shared" si="22"/>
        <v>152</v>
      </c>
      <c r="H113" s="38">
        <v>18.22</v>
      </c>
      <c r="I113" s="38">
        <f t="shared" si="23"/>
        <v>170.22</v>
      </c>
      <c r="J113" s="40">
        <v>11</v>
      </c>
      <c r="K113" s="41">
        <f t="shared" si="24"/>
        <v>88</v>
      </c>
      <c r="L113" s="40">
        <v>13.08</v>
      </c>
      <c r="M113" s="40">
        <f t="shared" si="25"/>
        <v>101.08</v>
      </c>
      <c r="N113" s="42">
        <v>15</v>
      </c>
      <c r="O113" s="43">
        <f t="shared" si="26"/>
        <v>120</v>
      </c>
      <c r="P113" s="42">
        <v>-6.47</v>
      </c>
      <c r="Q113" s="42">
        <f t="shared" si="27"/>
        <v>113.53</v>
      </c>
      <c r="R113" s="44">
        <f t="shared" si="28"/>
        <v>45</v>
      </c>
      <c r="S113" s="45">
        <f t="shared" si="29"/>
        <v>360</v>
      </c>
      <c r="T113" s="44">
        <f t="shared" si="30"/>
        <v>384.83</v>
      </c>
      <c r="U113" s="46">
        <f t="shared" si="31"/>
        <v>24.829999999999984</v>
      </c>
      <c r="V113" s="47"/>
      <c r="W113" s="48">
        <f t="shared" si="32"/>
        <v>0</v>
      </c>
      <c r="X113" s="49"/>
      <c r="Y113" s="50">
        <f t="shared" si="33"/>
        <v>0</v>
      </c>
      <c r="Z113" s="51"/>
      <c r="AA113" s="52">
        <f t="shared" si="34"/>
        <v>0</v>
      </c>
      <c r="AB113" s="36">
        <v>17</v>
      </c>
      <c r="AC113" s="36">
        <v>150</v>
      </c>
      <c r="AD113" s="29">
        <f t="shared" si="35"/>
        <v>534.82999999999993</v>
      </c>
    </row>
    <row r="114" spans="1:30" ht="15" customHeight="1" x14ac:dyDescent="0.25">
      <c r="A114" s="17">
        <f t="shared" si="18"/>
        <v>46208</v>
      </c>
      <c r="B114" s="18">
        <f t="shared" si="19"/>
        <v>3</v>
      </c>
      <c r="C114" s="18" t="str">
        <f t="shared" si="20"/>
        <v>Jul 2026</v>
      </c>
      <c r="D114" s="37">
        <v>46210</v>
      </c>
      <c r="E114" s="17" t="str">
        <f t="shared" si="21"/>
        <v>Tuesday</v>
      </c>
      <c r="F114" s="38">
        <v>18</v>
      </c>
      <c r="G114" s="39">
        <f t="shared" si="22"/>
        <v>144</v>
      </c>
      <c r="H114" s="38">
        <v>7</v>
      </c>
      <c r="I114" s="38">
        <f t="shared" si="23"/>
        <v>151</v>
      </c>
      <c r="J114" s="40">
        <v>13</v>
      </c>
      <c r="K114" s="41">
        <f t="shared" si="24"/>
        <v>104</v>
      </c>
      <c r="L114" s="40">
        <v>8.58</v>
      </c>
      <c r="M114" s="40">
        <f t="shared" si="25"/>
        <v>112.58</v>
      </c>
      <c r="N114" s="42">
        <v>15</v>
      </c>
      <c r="O114" s="43">
        <f t="shared" si="26"/>
        <v>120</v>
      </c>
      <c r="P114" s="42">
        <v>-3.8</v>
      </c>
      <c r="Q114" s="42">
        <f t="shared" si="27"/>
        <v>116.2</v>
      </c>
      <c r="R114" s="44">
        <f t="shared" si="28"/>
        <v>46</v>
      </c>
      <c r="S114" s="45">
        <f t="shared" si="29"/>
        <v>368</v>
      </c>
      <c r="T114" s="44">
        <f t="shared" si="30"/>
        <v>379.78</v>
      </c>
      <c r="U114" s="46">
        <f t="shared" si="31"/>
        <v>11.779999999999973</v>
      </c>
      <c r="V114" s="47"/>
      <c r="W114" s="48">
        <f t="shared" si="32"/>
        <v>0</v>
      </c>
      <c r="X114" s="49"/>
      <c r="Y114" s="50">
        <f t="shared" si="33"/>
        <v>0</v>
      </c>
      <c r="Z114" s="51"/>
      <c r="AA114" s="52">
        <f t="shared" si="34"/>
        <v>0</v>
      </c>
      <c r="AB114" s="36">
        <v>20</v>
      </c>
      <c r="AC114" s="36">
        <v>162.5</v>
      </c>
      <c r="AD114" s="29">
        <f t="shared" si="35"/>
        <v>542.28</v>
      </c>
    </row>
    <row r="115" spans="1:30" ht="15" customHeight="1" x14ac:dyDescent="0.25">
      <c r="A115" s="17">
        <f t="shared" si="18"/>
        <v>46208</v>
      </c>
      <c r="B115" s="18">
        <f t="shared" si="19"/>
        <v>4</v>
      </c>
      <c r="C115" s="18" t="str">
        <f t="shared" si="20"/>
        <v>Jul 2026</v>
      </c>
      <c r="D115" s="37">
        <v>46211</v>
      </c>
      <c r="E115" s="17" t="str">
        <f t="shared" si="21"/>
        <v>Wednesday</v>
      </c>
      <c r="F115" s="38">
        <v>19</v>
      </c>
      <c r="G115" s="39">
        <f t="shared" si="22"/>
        <v>152</v>
      </c>
      <c r="H115" s="38">
        <v>14</v>
      </c>
      <c r="I115" s="38">
        <f t="shared" si="23"/>
        <v>166</v>
      </c>
      <c r="J115" s="40">
        <v>12</v>
      </c>
      <c r="K115" s="41">
        <f t="shared" si="24"/>
        <v>96</v>
      </c>
      <c r="L115" s="40">
        <v>10.199999999999999</v>
      </c>
      <c r="M115" s="40">
        <f t="shared" si="25"/>
        <v>106.2</v>
      </c>
      <c r="N115" s="42">
        <v>15</v>
      </c>
      <c r="O115" s="43">
        <f t="shared" si="26"/>
        <v>120</v>
      </c>
      <c r="P115" s="42">
        <v>6.78</v>
      </c>
      <c r="Q115" s="42">
        <f t="shared" si="27"/>
        <v>126.78</v>
      </c>
      <c r="R115" s="44">
        <f t="shared" si="28"/>
        <v>46</v>
      </c>
      <c r="S115" s="45">
        <f t="shared" si="29"/>
        <v>368</v>
      </c>
      <c r="T115" s="44">
        <f t="shared" si="30"/>
        <v>398.97999999999996</v>
      </c>
      <c r="U115" s="46">
        <f t="shared" si="31"/>
        <v>30.979999999999961</v>
      </c>
      <c r="V115" s="47"/>
      <c r="W115" s="48">
        <f t="shared" si="32"/>
        <v>0</v>
      </c>
      <c r="X115" s="49"/>
      <c r="Y115" s="50">
        <f t="shared" si="33"/>
        <v>0</v>
      </c>
      <c r="Z115" s="51"/>
      <c r="AA115" s="52">
        <f t="shared" si="34"/>
        <v>0</v>
      </c>
      <c r="AB115" s="36">
        <v>16</v>
      </c>
      <c r="AC115" s="36">
        <v>140.6</v>
      </c>
      <c r="AD115" s="29">
        <f t="shared" si="35"/>
        <v>539.57999999999993</v>
      </c>
    </row>
    <row r="116" spans="1:30" ht="15" customHeight="1" x14ac:dyDescent="0.25">
      <c r="A116" s="17">
        <f t="shared" si="18"/>
        <v>46208</v>
      </c>
      <c r="B116" s="18">
        <f t="shared" si="19"/>
        <v>5</v>
      </c>
      <c r="C116" s="18" t="str">
        <f t="shared" si="20"/>
        <v>Jul 2026</v>
      </c>
      <c r="D116" s="37">
        <v>46212</v>
      </c>
      <c r="E116" s="17" t="str">
        <f t="shared" si="21"/>
        <v>Thursday</v>
      </c>
      <c r="F116" s="38">
        <v>18</v>
      </c>
      <c r="G116" s="39">
        <f t="shared" si="22"/>
        <v>144</v>
      </c>
      <c r="H116" s="38">
        <v>15.67</v>
      </c>
      <c r="I116" s="38">
        <f t="shared" si="23"/>
        <v>159.66999999999999</v>
      </c>
      <c r="J116" s="40">
        <v>11</v>
      </c>
      <c r="K116" s="41">
        <f t="shared" si="24"/>
        <v>88</v>
      </c>
      <c r="L116" s="40">
        <v>14.87</v>
      </c>
      <c r="M116" s="40">
        <f t="shared" si="25"/>
        <v>102.87</v>
      </c>
      <c r="N116" s="42">
        <v>16</v>
      </c>
      <c r="O116" s="43">
        <f t="shared" si="26"/>
        <v>128</v>
      </c>
      <c r="P116" s="42">
        <v>14.75</v>
      </c>
      <c r="Q116" s="42">
        <f t="shared" si="27"/>
        <v>142.75</v>
      </c>
      <c r="R116" s="44">
        <f t="shared" si="28"/>
        <v>45</v>
      </c>
      <c r="S116" s="45">
        <f t="shared" si="29"/>
        <v>360</v>
      </c>
      <c r="T116" s="44">
        <f t="shared" si="30"/>
        <v>405.28999999999996</v>
      </c>
      <c r="U116" s="46">
        <f t="shared" si="31"/>
        <v>45.289999999999964</v>
      </c>
      <c r="V116" s="47"/>
      <c r="W116" s="48">
        <f t="shared" si="32"/>
        <v>0</v>
      </c>
      <c r="X116" s="49"/>
      <c r="Y116" s="50">
        <f t="shared" si="33"/>
        <v>0</v>
      </c>
      <c r="Z116" s="51"/>
      <c r="AA116" s="52">
        <f t="shared" si="34"/>
        <v>0</v>
      </c>
      <c r="AB116" s="36">
        <v>27</v>
      </c>
      <c r="AC116" s="36">
        <v>258.75</v>
      </c>
      <c r="AD116" s="29">
        <f t="shared" si="35"/>
        <v>664.04</v>
      </c>
    </row>
    <row r="117" spans="1:30" ht="15" customHeight="1" x14ac:dyDescent="0.25">
      <c r="A117" s="17">
        <f t="shared" si="18"/>
        <v>46208</v>
      </c>
      <c r="B117" s="18">
        <f t="shared" si="19"/>
        <v>6</v>
      </c>
      <c r="C117" s="18" t="str">
        <f t="shared" si="20"/>
        <v>Jul 2026</v>
      </c>
      <c r="D117" s="37">
        <v>46213</v>
      </c>
      <c r="E117" s="17" t="str">
        <f t="shared" si="21"/>
        <v>Friday</v>
      </c>
      <c r="F117" s="38">
        <v>14</v>
      </c>
      <c r="G117" s="39">
        <f t="shared" si="22"/>
        <v>112</v>
      </c>
      <c r="H117" s="38">
        <v>12.4</v>
      </c>
      <c r="I117" s="38">
        <f t="shared" si="23"/>
        <v>124.4</v>
      </c>
      <c r="J117" s="40"/>
      <c r="K117" s="41">
        <f t="shared" si="24"/>
        <v>0</v>
      </c>
      <c r="L117" s="40"/>
      <c r="M117" s="40">
        <f t="shared" si="25"/>
        <v>0</v>
      </c>
      <c r="N117" s="42"/>
      <c r="O117" s="43">
        <f t="shared" si="26"/>
        <v>0</v>
      </c>
      <c r="P117" s="42"/>
      <c r="Q117" s="42">
        <f t="shared" si="27"/>
        <v>0</v>
      </c>
      <c r="R117" s="44">
        <f t="shared" si="28"/>
        <v>14</v>
      </c>
      <c r="S117" s="45">
        <f t="shared" si="29"/>
        <v>112</v>
      </c>
      <c r="T117" s="44">
        <f t="shared" si="30"/>
        <v>124.4</v>
      </c>
      <c r="U117" s="46">
        <f t="shared" si="31"/>
        <v>12.400000000000006</v>
      </c>
      <c r="V117" s="47"/>
      <c r="W117" s="48">
        <f t="shared" si="32"/>
        <v>0</v>
      </c>
      <c r="X117" s="49"/>
      <c r="Y117" s="50">
        <f t="shared" si="33"/>
        <v>0</v>
      </c>
      <c r="Z117" s="51"/>
      <c r="AA117" s="52">
        <f t="shared" si="34"/>
        <v>0</v>
      </c>
      <c r="AB117" s="36">
        <v>10</v>
      </c>
      <c r="AC117" s="36">
        <v>70.849999999999994</v>
      </c>
      <c r="AD117" s="29">
        <f t="shared" si="35"/>
        <v>195.25</v>
      </c>
    </row>
    <row r="118" spans="1:30" ht="15" customHeight="1" x14ac:dyDescent="0.25">
      <c r="A118" s="17">
        <f t="shared" si="18"/>
        <v>46208</v>
      </c>
      <c r="B118" s="18">
        <f t="shared" si="19"/>
        <v>7</v>
      </c>
      <c r="C118" s="18" t="str">
        <f t="shared" si="20"/>
        <v>Jul 2026</v>
      </c>
      <c r="D118" s="37">
        <v>46214</v>
      </c>
      <c r="E118" s="17" t="str">
        <f t="shared" si="21"/>
        <v>Saturday</v>
      </c>
      <c r="F118" s="38">
        <v>16</v>
      </c>
      <c r="G118" s="39">
        <f t="shared" si="22"/>
        <v>128</v>
      </c>
      <c r="H118" s="38">
        <v>16.97</v>
      </c>
      <c r="I118" s="38">
        <f t="shared" si="23"/>
        <v>144.97</v>
      </c>
      <c r="J118" s="40">
        <v>10</v>
      </c>
      <c r="K118" s="41">
        <f t="shared" si="24"/>
        <v>80</v>
      </c>
      <c r="L118" s="40">
        <v>19.579999999999998</v>
      </c>
      <c r="M118" s="40">
        <f t="shared" si="25"/>
        <v>99.58</v>
      </c>
      <c r="N118" s="42">
        <v>14</v>
      </c>
      <c r="O118" s="43">
        <f t="shared" si="26"/>
        <v>112</v>
      </c>
      <c r="P118" s="42">
        <v>32.75</v>
      </c>
      <c r="Q118" s="42">
        <f t="shared" si="27"/>
        <v>144.75</v>
      </c>
      <c r="R118" s="44">
        <f t="shared" si="28"/>
        <v>40</v>
      </c>
      <c r="S118" s="45">
        <f t="shared" si="29"/>
        <v>320</v>
      </c>
      <c r="T118" s="44">
        <f t="shared" si="30"/>
        <v>389.3</v>
      </c>
      <c r="U118" s="46">
        <f t="shared" si="31"/>
        <v>69.300000000000011</v>
      </c>
      <c r="V118" s="47"/>
      <c r="W118" s="48">
        <f t="shared" si="32"/>
        <v>0</v>
      </c>
      <c r="X118" s="49"/>
      <c r="Y118" s="50">
        <f t="shared" si="33"/>
        <v>0</v>
      </c>
      <c r="Z118" s="51"/>
      <c r="AA118" s="52">
        <f t="shared" si="34"/>
        <v>0</v>
      </c>
      <c r="AB118" s="36">
        <v>30</v>
      </c>
      <c r="AC118" s="36">
        <v>282.25</v>
      </c>
      <c r="AD118" s="29">
        <f t="shared" si="35"/>
        <v>671.55</v>
      </c>
    </row>
    <row r="119" spans="1:30" ht="15" customHeight="1" x14ac:dyDescent="0.25">
      <c r="A119" s="17">
        <f t="shared" si="18"/>
        <v>46215</v>
      </c>
      <c r="B119" s="18">
        <f t="shared" si="19"/>
        <v>1</v>
      </c>
      <c r="C119" s="18" t="str">
        <f t="shared" si="20"/>
        <v>Jul 2026</v>
      </c>
      <c r="D119" s="37">
        <v>46215</v>
      </c>
      <c r="E119" s="17" t="str">
        <f t="shared" si="21"/>
        <v>Sunday</v>
      </c>
      <c r="F119" s="38">
        <v>15</v>
      </c>
      <c r="G119" s="39">
        <f t="shared" si="22"/>
        <v>120</v>
      </c>
      <c r="H119" s="38">
        <v>20.98</v>
      </c>
      <c r="I119" s="38">
        <f t="shared" si="23"/>
        <v>140.97999999999999</v>
      </c>
      <c r="J119" s="40">
        <v>11</v>
      </c>
      <c r="K119" s="41">
        <f t="shared" si="24"/>
        <v>88</v>
      </c>
      <c r="L119" s="40">
        <v>2.92</v>
      </c>
      <c r="M119" s="40">
        <f t="shared" si="25"/>
        <v>90.92</v>
      </c>
      <c r="N119" s="42">
        <v>12</v>
      </c>
      <c r="O119" s="43">
        <f t="shared" si="26"/>
        <v>96</v>
      </c>
      <c r="P119" s="42">
        <v>17.350000000000001</v>
      </c>
      <c r="Q119" s="42">
        <f t="shared" si="27"/>
        <v>113.35</v>
      </c>
      <c r="R119" s="44">
        <f t="shared" si="28"/>
        <v>38</v>
      </c>
      <c r="S119" s="45">
        <f t="shared" si="29"/>
        <v>304</v>
      </c>
      <c r="T119" s="44">
        <f t="shared" si="30"/>
        <v>345.25</v>
      </c>
      <c r="U119" s="46">
        <f t="shared" si="31"/>
        <v>41.25</v>
      </c>
      <c r="V119" s="47"/>
      <c r="W119" s="48">
        <f t="shared" si="32"/>
        <v>0</v>
      </c>
      <c r="X119" s="49"/>
      <c r="Y119" s="50">
        <f t="shared" si="33"/>
        <v>0</v>
      </c>
      <c r="Z119" s="51"/>
      <c r="AA119" s="52">
        <f t="shared" si="34"/>
        <v>0</v>
      </c>
      <c r="AB119" s="36"/>
      <c r="AC119" s="36"/>
      <c r="AD119" s="29">
        <f t="shared" si="35"/>
        <v>345.25</v>
      </c>
    </row>
    <row r="120" spans="1:30" ht="15" customHeight="1" x14ac:dyDescent="0.25">
      <c r="A120" s="17">
        <f t="shared" si="18"/>
        <v>46215</v>
      </c>
      <c r="B120" s="18">
        <f t="shared" si="19"/>
        <v>2</v>
      </c>
      <c r="C120" s="18" t="str">
        <f t="shared" si="20"/>
        <v>Jul 2026</v>
      </c>
      <c r="D120" s="37">
        <v>46216</v>
      </c>
      <c r="E120" s="17" t="str">
        <f t="shared" si="21"/>
        <v>Monday</v>
      </c>
      <c r="F120" s="38">
        <v>16</v>
      </c>
      <c r="G120" s="39">
        <f t="shared" si="22"/>
        <v>128</v>
      </c>
      <c r="H120" s="38">
        <v>17.72</v>
      </c>
      <c r="I120" s="38">
        <f t="shared" si="23"/>
        <v>145.72</v>
      </c>
      <c r="J120" s="40">
        <v>14</v>
      </c>
      <c r="K120" s="41">
        <f t="shared" si="24"/>
        <v>112</v>
      </c>
      <c r="L120" s="40">
        <v>4.7</v>
      </c>
      <c r="M120" s="40">
        <f t="shared" si="25"/>
        <v>116.7</v>
      </c>
      <c r="N120" s="42">
        <v>13</v>
      </c>
      <c r="O120" s="43">
        <f t="shared" si="26"/>
        <v>104</v>
      </c>
      <c r="P120" s="42">
        <v>14.38</v>
      </c>
      <c r="Q120" s="42">
        <f t="shared" si="27"/>
        <v>118.38</v>
      </c>
      <c r="R120" s="44">
        <f t="shared" si="28"/>
        <v>43</v>
      </c>
      <c r="S120" s="45">
        <f t="shared" si="29"/>
        <v>344</v>
      </c>
      <c r="T120" s="44">
        <f t="shared" si="30"/>
        <v>380.8</v>
      </c>
      <c r="U120" s="46">
        <f t="shared" si="31"/>
        <v>36.800000000000011</v>
      </c>
      <c r="V120" s="47"/>
      <c r="W120" s="48">
        <f t="shared" si="32"/>
        <v>0</v>
      </c>
      <c r="X120" s="49"/>
      <c r="Y120" s="50">
        <f t="shared" si="33"/>
        <v>0</v>
      </c>
      <c r="Z120" s="51"/>
      <c r="AA120" s="52">
        <f t="shared" si="34"/>
        <v>0</v>
      </c>
      <c r="AB120" s="36">
        <v>29</v>
      </c>
      <c r="AC120" s="36">
        <v>267</v>
      </c>
      <c r="AD120" s="29">
        <f t="shared" si="35"/>
        <v>647.79999999999995</v>
      </c>
    </row>
    <row r="121" spans="1:30" ht="15" customHeight="1" x14ac:dyDescent="0.25">
      <c r="A121" s="17">
        <f t="shared" si="18"/>
        <v>46215</v>
      </c>
      <c r="B121" s="18">
        <f t="shared" si="19"/>
        <v>3</v>
      </c>
      <c r="C121" s="18" t="str">
        <f t="shared" si="20"/>
        <v>Jul 2026</v>
      </c>
      <c r="D121" s="37">
        <v>46217</v>
      </c>
      <c r="E121" s="17" t="str">
        <f t="shared" si="21"/>
        <v>Tuesday</v>
      </c>
      <c r="F121" s="38">
        <v>17</v>
      </c>
      <c r="G121" s="39">
        <f t="shared" si="22"/>
        <v>136</v>
      </c>
      <c r="H121" s="38">
        <v>23.72</v>
      </c>
      <c r="I121" s="38">
        <f t="shared" si="23"/>
        <v>159.72</v>
      </c>
      <c r="J121" s="40">
        <v>12</v>
      </c>
      <c r="K121" s="41">
        <f t="shared" si="24"/>
        <v>96</v>
      </c>
      <c r="L121" s="40">
        <v>5.68</v>
      </c>
      <c r="M121" s="40">
        <f t="shared" si="25"/>
        <v>101.68</v>
      </c>
      <c r="N121" s="42">
        <v>13</v>
      </c>
      <c r="O121" s="43">
        <f t="shared" si="26"/>
        <v>104</v>
      </c>
      <c r="P121" s="42">
        <v>6.55</v>
      </c>
      <c r="Q121" s="42">
        <f t="shared" si="27"/>
        <v>110.55</v>
      </c>
      <c r="R121" s="44">
        <f t="shared" si="28"/>
        <v>42</v>
      </c>
      <c r="S121" s="45">
        <f t="shared" si="29"/>
        <v>336</v>
      </c>
      <c r="T121" s="44">
        <f t="shared" si="30"/>
        <v>371.95</v>
      </c>
      <c r="U121" s="46">
        <f t="shared" si="31"/>
        <v>35.949999999999989</v>
      </c>
      <c r="V121" s="47"/>
      <c r="W121" s="48">
        <f t="shared" si="32"/>
        <v>0</v>
      </c>
      <c r="X121" s="49"/>
      <c r="Y121" s="50">
        <f t="shared" si="33"/>
        <v>0</v>
      </c>
      <c r="Z121" s="51"/>
      <c r="AA121" s="52">
        <f t="shared" si="34"/>
        <v>0</v>
      </c>
      <c r="AB121" s="36">
        <v>23</v>
      </c>
      <c r="AC121" s="36">
        <v>193.4</v>
      </c>
      <c r="AD121" s="29">
        <f t="shared" si="35"/>
        <v>565.35</v>
      </c>
    </row>
    <row r="122" spans="1:30" ht="15" customHeight="1" x14ac:dyDescent="0.25">
      <c r="A122" s="17">
        <f t="shared" si="18"/>
        <v>46215</v>
      </c>
      <c r="B122" s="18">
        <f t="shared" si="19"/>
        <v>4</v>
      </c>
      <c r="C122" s="18" t="str">
        <f t="shared" si="20"/>
        <v>Jul 2026</v>
      </c>
      <c r="D122" s="37">
        <v>46218</v>
      </c>
      <c r="E122" s="17" t="str">
        <f t="shared" si="21"/>
        <v>Wednesday</v>
      </c>
      <c r="F122" s="38">
        <v>19</v>
      </c>
      <c r="G122" s="39">
        <f t="shared" si="22"/>
        <v>152</v>
      </c>
      <c r="H122" s="38">
        <v>10.58</v>
      </c>
      <c r="I122" s="38">
        <f t="shared" si="23"/>
        <v>162.58000000000001</v>
      </c>
      <c r="J122" s="40">
        <v>12</v>
      </c>
      <c r="K122" s="41">
        <f t="shared" si="24"/>
        <v>96</v>
      </c>
      <c r="L122" s="40">
        <v>9.77</v>
      </c>
      <c r="M122" s="40">
        <f t="shared" si="25"/>
        <v>105.77</v>
      </c>
      <c r="N122" s="42">
        <v>12</v>
      </c>
      <c r="O122" s="43">
        <f t="shared" si="26"/>
        <v>96</v>
      </c>
      <c r="P122" s="42">
        <v>11.2</v>
      </c>
      <c r="Q122" s="42">
        <f t="shared" si="27"/>
        <v>107.2</v>
      </c>
      <c r="R122" s="44">
        <f t="shared" si="28"/>
        <v>43</v>
      </c>
      <c r="S122" s="45">
        <f t="shared" si="29"/>
        <v>344</v>
      </c>
      <c r="T122" s="44">
        <f t="shared" si="30"/>
        <v>375.55</v>
      </c>
      <c r="U122" s="46">
        <f t="shared" si="31"/>
        <v>31.550000000000011</v>
      </c>
      <c r="V122" s="47"/>
      <c r="W122" s="48">
        <f t="shared" si="32"/>
        <v>0</v>
      </c>
      <c r="X122" s="49"/>
      <c r="Y122" s="50">
        <f t="shared" si="33"/>
        <v>0</v>
      </c>
      <c r="Z122" s="51"/>
      <c r="AA122" s="52">
        <f t="shared" si="34"/>
        <v>0</v>
      </c>
      <c r="AB122" s="36">
        <v>21</v>
      </c>
      <c r="AC122" s="36">
        <v>178.55</v>
      </c>
      <c r="AD122" s="29">
        <f t="shared" si="35"/>
        <v>554.1</v>
      </c>
    </row>
    <row r="123" spans="1:30" ht="15" customHeight="1" x14ac:dyDescent="0.25">
      <c r="A123" s="17">
        <f t="shared" si="18"/>
        <v>46215</v>
      </c>
      <c r="B123" s="18">
        <f t="shared" si="19"/>
        <v>5</v>
      </c>
      <c r="C123" s="18" t="str">
        <f t="shared" si="20"/>
        <v>Jul 2026</v>
      </c>
      <c r="D123" s="37">
        <v>46219</v>
      </c>
      <c r="E123" s="17" t="str">
        <f t="shared" si="21"/>
        <v>Thursday</v>
      </c>
      <c r="F123" s="38">
        <v>18</v>
      </c>
      <c r="G123" s="39">
        <f t="shared" si="22"/>
        <v>144</v>
      </c>
      <c r="H123" s="38">
        <v>7.37</v>
      </c>
      <c r="I123" s="38">
        <f t="shared" si="23"/>
        <v>151.37</v>
      </c>
      <c r="J123" s="40">
        <v>14</v>
      </c>
      <c r="K123" s="41">
        <f t="shared" si="24"/>
        <v>112</v>
      </c>
      <c r="L123" s="40">
        <v>21.52</v>
      </c>
      <c r="M123" s="40">
        <f t="shared" si="25"/>
        <v>133.52000000000001</v>
      </c>
      <c r="N123" s="42">
        <v>14</v>
      </c>
      <c r="O123" s="43">
        <f t="shared" si="26"/>
        <v>112</v>
      </c>
      <c r="P123" s="42">
        <v>24.2</v>
      </c>
      <c r="Q123" s="42">
        <f t="shared" si="27"/>
        <v>136.19999999999999</v>
      </c>
      <c r="R123" s="44">
        <f t="shared" si="28"/>
        <v>46</v>
      </c>
      <c r="S123" s="45">
        <f t="shared" si="29"/>
        <v>368</v>
      </c>
      <c r="T123" s="44">
        <f t="shared" si="30"/>
        <v>421.09</v>
      </c>
      <c r="U123" s="46">
        <f t="shared" si="31"/>
        <v>53.089999999999975</v>
      </c>
      <c r="V123" s="47"/>
      <c r="W123" s="48">
        <f t="shared" si="32"/>
        <v>0</v>
      </c>
      <c r="X123" s="49"/>
      <c r="Y123" s="50">
        <f t="shared" si="33"/>
        <v>0</v>
      </c>
      <c r="Z123" s="51"/>
      <c r="AA123" s="52">
        <f t="shared" si="34"/>
        <v>0</v>
      </c>
      <c r="AB123" s="36">
        <v>23</v>
      </c>
      <c r="AC123" s="36">
        <v>230.85</v>
      </c>
      <c r="AD123" s="29">
        <f t="shared" si="35"/>
        <v>651.93999999999994</v>
      </c>
    </row>
    <row r="124" spans="1:30" ht="15" customHeight="1" x14ac:dyDescent="0.25">
      <c r="A124" s="17">
        <f t="shared" si="18"/>
        <v>46215</v>
      </c>
      <c r="B124" s="18">
        <f t="shared" si="19"/>
        <v>6</v>
      </c>
      <c r="C124" s="18" t="str">
        <f t="shared" si="20"/>
        <v>Jul 2026</v>
      </c>
      <c r="D124" s="37">
        <v>46220</v>
      </c>
      <c r="E124" s="17" t="str">
        <f t="shared" si="21"/>
        <v>Friday</v>
      </c>
      <c r="F124" s="38">
        <v>14</v>
      </c>
      <c r="G124" s="39">
        <f t="shared" si="22"/>
        <v>112</v>
      </c>
      <c r="H124" s="38">
        <v>20.37</v>
      </c>
      <c r="I124" s="38">
        <f t="shared" si="23"/>
        <v>132.37</v>
      </c>
      <c r="J124" s="40"/>
      <c r="K124" s="41">
        <f t="shared" si="24"/>
        <v>0</v>
      </c>
      <c r="L124" s="40"/>
      <c r="M124" s="40">
        <f t="shared" si="25"/>
        <v>0</v>
      </c>
      <c r="N124" s="42"/>
      <c r="O124" s="43">
        <f t="shared" si="26"/>
        <v>0</v>
      </c>
      <c r="P124" s="42"/>
      <c r="Q124" s="42">
        <f t="shared" si="27"/>
        <v>0</v>
      </c>
      <c r="R124" s="44">
        <f t="shared" si="28"/>
        <v>14</v>
      </c>
      <c r="S124" s="45">
        <f t="shared" si="29"/>
        <v>112</v>
      </c>
      <c r="T124" s="44">
        <f t="shared" si="30"/>
        <v>132.37</v>
      </c>
      <c r="U124" s="46">
        <f t="shared" si="31"/>
        <v>20.370000000000005</v>
      </c>
      <c r="V124" s="47"/>
      <c r="W124" s="48">
        <f t="shared" si="32"/>
        <v>0</v>
      </c>
      <c r="X124" s="49"/>
      <c r="Y124" s="50">
        <f t="shared" si="33"/>
        <v>0</v>
      </c>
      <c r="Z124" s="51"/>
      <c r="AA124" s="52">
        <f t="shared" si="34"/>
        <v>0</v>
      </c>
      <c r="AB124" s="36">
        <v>8</v>
      </c>
      <c r="AC124" s="36">
        <v>61</v>
      </c>
      <c r="AD124" s="29">
        <f t="shared" si="35"/>
        <v>193.37</v>
      </c>
    </row>
    <row r="125" spans="1:30" ht="15" customHeight="1" x14ac:dyDescent="0.25">
      <c r="A125" s="17">
        <f t="shared" si="18"/>
        <v>46215</v>
      </c>
      <c r="B125" s="18">
        <f t="shared" si="19"/>
        <v>7</v>
      </c>
      <c r="C125" s="18" t="str">
        <f t="shared" si="20"/>
        <v>Jul 2026</v>
      </c>
      <c r="D125" s="37">
        <v>46221</v>
      </c>
      <c r="E125" s="17" t="str">
        <f t="shared" si="21"/>
        <v>Saturday</v>
      </c>
      <c r="F125" s="38">
        <v>14</v>
      </c>
      <c r="G125" s="39">
        <f t="shared" si="22"/>
        <v>112</v>
      </c>
      <c r="H125" s="38">
        <v>13.62</v>
      </c>
      <c r="I125" s="38">
        <f t="shared" si="23"/>
        <v>125.62</v>
      </c>
      <c r="J125" s="40">
        <v>12</v>
      </c>
      <c r="K125" s="41">
        <f t="shared" si="24"/>
        <v>96</v>
      </c>
      <c r="L125" s="40">
        <v>13.78</v>
      </c>
      <c r="M125" s="40">
        <f t="shared" si="25"/>
        <v>109.78</v>
      </c>
      <c r="N125" s="42">
        <v>13</v>
      </c>
      <c r="O125" s="43">
        <f t="shared" si="26"/>
        <v>104</v>
      </c>
      <c r="P125" s="42">
        <v>20.03</v>
      </c>
      <c r="Q125" s="42">
        <f t="shared" si="27"/>
        <v>124.03</v>
      </c>
      <c r="R125" s="44">
        <f t="shared" si="28"/>
        <v>39</v>
      </c>
      <c r="S125" s="45">
        <f t="shared" si="29"/>
        <v>312</v>
      </c>
      <c r="T125" s="44">
        <f t="shared" si="30"/>
        <v>359.42999999999995</v>
      </c>
      <c r="U125" s="46">
        <f t="shared" si="31"/>
        <v>47.42999999999995</v>
      </c>
      <c r="V125" s="47"/>
      <c r="W125" s="48">
        <f t="shared" si="32"/>
        <v>0</v>
      </c>
      <c r="X125" s="49"/>
      <c r="Y125" s="50">
        <f t="shared" si="33"/>
        <v>0</v>
      </c>
      <c r="Z125" s="51"/>
      <c r="AA125" s="52">
        <f t="shared" si="34"/>
        <v>0</v>
      </c>
      <c r="AB125" s="36">
        <v>30</v>
      </c>
      <c r="AC125" s="36">
        <v>262.3</v>
      </c>
      <c r="AD125" s="29">
        <f t="shared" si="35"/>
        <v>621.73</v>
      </c>
    </row>
    <row r="126" spans="1:30" ht="15" customHeight="1" x14ac:dyDescent="0.25">
      <c r="A126" s="17">
        <f t="shared" si="18"/>
        <v>46222</v>
      </c>
      <c r="B126" s="18">
        <f t="shared" si="19"/>
        <v>1</v>
      </c>
      <c r="C126" s="18" t="str">
        <f t="shared" si="20"/>
        <v>Jul 2026</v>
      </c>
      <c r="D126" s="37">
        <v>46222</v>
      </c>
      <c r="E126" s="17" t="str">
        <f t="shared" si="21"/>
        <v>Sunday</v>
      </c>
      <c r="F126" s="38">
        <v>15</v>
      </c>
      <c r="G126" s="39">
        <f t="shared" si="22"/>
        <v>120</v>
      </c>
      <c r="H126" s="38">
        <v>9.9499999999999993</v>
      </c>
      <c r="I126" s="38">
        <f t="shared" si="23"/>
        <v>129.94999999999999</v>
      </c>
      <c r="J126" s="40">
        <v>12</v>
      </c>
      <c r="K126" s="41">
        <f t="shared" si="24"/>
        <v>96</v>
      </c>
      <c r="L126" s="40">
        <v>6.8</v>
      </c>
      <c r="M126" s="40">
        <f t="shared" si="25"/>
        <v>102.8</v>
      </c>
      <c r="N126" s="42">
        <v>12</v>
      </c>
      <c r="O126" s="43">
        <f t="shared" si="26"/>
        <v>96</v>
      </c>
      <c r="P126" s="42">
        <v>-2.33</v>
      </c>
      <c r="Q126" s="42">
        <f t="shared" si="27"/>
        <v>93.67</v>
      </c>
      <c r="R126" s="44">
        <f t="shared" si="28"/>
        <v>39</v>
      </c>
      <c r="S126" s="45">
        <f t="shared" si="29"/>
        <v>312</v>
      </c>
      <c r="T126" s="44">
        <f t="shared" si="30"/>
        <v>326.42</v>
      </c>
      <c r="U126" s="46">
        <f t="shared" si="31"/>
        <v>14.420000000000016</v>
      </c>
      <c r="V126" s="47"/>
      <c r="W126" s="48">
        <f t="shared" si="32"/>
        <v>0</v>
      </c>
      <c r="X126" s="49"/>
      <c r="Y126" s="50">
        <f t="shared" si="33"/>
        <v>0</v>
      </c>
      <c r="Z126" s="51"/>
      <c r="AA126" s="52">
        <f t="shared" si="34"/>
        <v>0</v>
      </c>
      <c r="AB126" s="36">
        <v>25</v>
      </c>
      <c r="AC126" s="36">
        <v>195.25</v>
      </c>
      <c r="AD126" s="29">
        <f t="shared" si="35"/>
        <v>521.67000000000007</v>
      </c>
    </row>
    <row r="127" spans="1:30" ht="15" customHeight="1" x14ac:dyDescent="0.25">
      <c r="A127" s="17">
        <f t="shared" si="18"/>
        <v>46222</v>
      </c>
      <c r="B127" s="18">
        <f t="shared" si="19"/>
        <v>2</v>
      </c>
      <c r="C127" s="18" t="str">
        <f t="shared" si="20"/>
        <v>Jul 2026</v>
      </c>
      <c r="D127" s="37">
        <v>46223</v>
      </c>
      <c r="E127" s="17" t="str">
        <f t="shared" si="21"/>
        <v>Monday</v>
      </c>
      <c r="F127" s="38">
        <v>13</v>
      </c>
      <c r="G127" s="39">
        <f t="shared" si="22"/>
        <v>104</v>
      </c>
      <c r="H127" s="38">
        <v>20.92</v>
      </c>
      <c r="I127" s="38">
        <f t="shared" si="23"/>
        <v>124.92</v>
      </c>
      <c r="J127" s="40">
        <v>13</v>
      </c>
      <c r="K127" s="41">
        <f t="shared" si="24"/>
        <v>104</v>
      </c>
      <c r="L127" s="40">
        <v>7.38</v>
      </c>
      <c r="M127" s="40">
        <f t="shared" si="25"/>
        <v>111.38</v>
      </c>
      <c r="N127" s="42">
        <v>13</v>
      </c>
      <c r="O127" s="43">
        <f t="shared" si="26"/>
        <v>104</v>
      </c>
      <c r="P127" s="42">
        <v>-8.67</v>
      </c>
      <c r="Q127" s="42">
        <f t="shared" si="27"/>
        <v>95.33</v>
      </c>
      <c r="R127" s="44">
        <f t="shared" si="28"/>
        <v>39</v>
      </c>
      <c r="S127" s="45">
        <f t="shared" si="29"/>
        <v>312</v>
      </c>
      <c r="T127" s="44">
        <f t="shared" si="30"/>
        <v>331.63</v>
      </c>
      <c r="U127" s="46">
        <f t="shared" si="31"/>
        <v>19.629999999999995</v>
      </c>
      <c r="V127" s="47"/>
      <c r="W127" s="48">
        <f t="shared" si="32"/>
        <v>0</v>
      </c>
      <c r="X127" s="49"/>
      <c r="Y127" s="50">
        <f t="shared" si="33"/>
        <v>0</v>
      </c>
      <c r="Z127" s="51"/>
      <c r="AA127" s="52">
        <f t="shared" si="34"/>
        <v>0</v>
      </c>
      <c r="AB127" s="36">
        <v>27</v>
      </c>
      <c r="AC127" s="36">
        <v>225</v>
      </c>
      <c r="AD127" s="29">
        <f t="shared" si="35"/>
        <v>556.63</v>
      </c>
    </row>
    <row r="128" spans="1:30" ht="15" customHeight="1" x14ac:dyDescent="0.25">
      <c r="A128" s="17">
        <f t="shared" si="18"/>
        <v>46222</v>
      </c>
      <c r="B128" s="18">
        <f t="shared" si="19"/>
        <v>3</v>
      </c>
      <c r="C128" s="18" t="str">
        <f t="shared" si="20"/>
        <v>Jul 2026</v>
      </c>
      <c r="D128" s="37">
        <v>46224</v>
      </c>
      <c r="E128" s="17" t="str">
        <f t="shared" si="21"/>
        <v>Tuesday</v>
      </c>
      <c r="F128" s="38">
        <v>14</v>
      </c>
      <c r="G128" s="39">
        <f t="shared" si="22"/>
        <v>112</v>
      </c>
      <c r="H128" s="38">
        <v>20.6</v>
      </c>
      <c r="I128" s="38">
        <f t="shared" si="23"/>
        <v>132.6</v>
      </c>
      <c r="J128" s="40">
        <v>13</v>
      </c>
      <c r="K128" s="41">
        <f t="shared" si="24"/>
        <v>104</v>
      </c>
      <c r="L128" s="40">
        <v>9.8699999999999992</v>
      </c>
      <c r="M128" s="40">
        <f t="shared" si="25"/>
        <v>113.87</v>
      </c>
      <c r="N128" s="42">
        <v>13</v>
      </c>
      <c r="O128" s="43">
        <f t="shared" si="26"/>
        <v>104</v>
      </c>
      <c r="P128" s="42">
        <v>0.33</v>
      </c>
      <c r="Q128" s="42">
        <f t="shared" si="27"/>
        <v>104.33</v>
      </c>
      <c r="R128" s="44">
        <f t="shared" si="28"/>
        <v>40</v>
      </c>
      <c r="S128" s="45">
        <f t="shared" si="29"/>
        <v>320</v>
      </c>
      <c r="T128" s="44">
        <f t="shared" si="30"/>
        <v>350.8</v>
      </c>
      <c r="U128" s="46">
        <f t="shared" si="31"/>
        <v>30.800000000000011</v>
      </c>
      <c r="V128" s="47"/>
      <c r="W128" s="48">
        <f t="shared" si="32"/>
        <v>0</v>
      </c>
      <c r="X128" s="49"/>
      <c r="Y128" s="50">
        <f t="shared" si="33"/>
        <v>0</v>
      </c>
      <c r="Z128" s="51"/>
      <c r="AA128" s="52">
        <f t="shared" si="34"/>
        <v>0</v>
      </c>
      <c r="AB128" s="36">
        <v>22</v>
      </c>
      <c r="AC128" s="36">
        <v>177.75</v>
      </c>
      <c r="AD128" s="29">
        <f t="shared" si="35"/>
        <v>528.54999999999995</v>
      </c>
    </row>
    <row r="129" spans="1:30" ht="15" customHeight="1" x14ac:dyDescent="0.25">
      <c r="A129" s="17">
        <f t="shared" si="18"/>
        <v>46222</v>
      </c>
      <c r="B129" s="18">
        <f t="shared" si="19"/>
        <v>4</v>
      </c>
      <c r="C129" s="18" t="str">
        <f t="shared" si="20"/>
        <v>Jul 2026</v>
      </c>
      <c r="D129" s="37">
        <v>46225</v>
      </c>
      <c r="E129" s="17" t="str">
        <f t="shared" si="21"/>
        <v>Wednesday</v>
      </c>
      <c r="F129" s="38">
        <v>17</v>
      </c>
      <c r="G129" s="39">
        <f t="shared" si="22"/>
        <v>136</v>
      </c>
      <c r="H129" s="38">
        <v>13.98</v>
      </c>
      <c r="I129" s="38">
        <f t="shared" si="23"/>
        <v>149.97999999999999</v>
      </c>
      <c r="J129" s="40">
        <v>12</v>
      </c>
      <c r="K129" s="41">
        <f t="shared" si="24"/>
        <v>96</v>
      </c>
      <c r="L129" s="40">
        <v>5.0199999999999996</v>
      </c>
      <c r="M129" s="40">
        <f t="shared" si="25"/>
        <v>101.02</v>
      </c>
      <c r="N129" s="42">
        <v>13</v>
      </c>
      <c r="O129" s="43">
        <f t="shared" si="26"/>
        <v>104</v>
      </c>
      <c r="P129" s="42">
        <v>0.3</v>
      </c>
      <c r="Q129" s="42">
        <f t="shared" si="27"/>
        <v>104.3</v>
      </c>
      <c r="R129" s="44">
        <f t="shared" si="28"/>
        <v>42</v>
      </c>
      <c r="S129" s="45">
        <f t="shared" si="29"/>
        <v>336</v>
      </c>
      <c r="T129" s="44">
        <f t="shared" si="30"/>
        <v>355.3</v>
      </c>
      <c r="U129" s="46">
        <f t="shared" si="31"/>
        <v>19.300000000000011</v>
      </c>
      <c r="V129" s="47"/>
      <c r="W129" s="48">
        <f t="shared" si="32"/>
        <v>0</v>
      </c>
      <c r="X129" s="49"/>
      <c r="Y129" s="50">
        <f t="shared" si="33"/>
        <v>0</v>
      </c>
      <c r="Z129" s="51"/>
      <c r="AA129" s="52">
        <f t="shared" si="34"/>
        <v>0</v>
      </c>
      <c r="AB129" s="36">
        <v>22</v>
      </c>
      <c r="AC129" s="36">
        <v>169</v>
      </c>
      <c r="AD129" s="29">
        <f t="shared" si="35"/>
        <v>524.29999999999995</v>
      </c>
    </row>
    <row r="130" spans="1:30" ht="15" customHeight="1" x14ac:dyDescent="0.25">
      <c r="A130" s="17">
        <f t="shared" ref="A130:A193" si="36">D130-WEEKDAY(D130,1)+1</f>
        <v>46222</v>
      </c>
      <c r="B130" s="18">
        <f t="shared" ref="B130:B193" si="37">WEEKDAY(D130,1)</f>
        <v>5</v>
      </c>
      <c r="C130" s="18" t="str">
        <f t="shared" ref="C130:C193" si="38">TEXT(D130,"mmm yyyy")</f>
        <v>Jul 2026</v>
      </c>
      <c r="D130" s="37">
        <v>46226</v>
      </c>
      <c r="E130" s="17" t="str">
        <f t="shared" ref="E130:E193" si="39">TEXT(D130,"dddd")</f>
        <v>Thursday</v>
      </c>
      <c r="F130" s="38">
        <v>16</v>
      </c>
      <c r="G130" s="39">
        <f t="shared" ref="G130:G193" si="40">F130*8</f>
        <v>128</v>
      </c>
      <c r="H130" s="38">
        <v>14.37</v>
      </c>
      <c r="I130" s="38">
        <f t="shared" ref="I130:I193" si="41">SUM(H130,G130)</f>
        <v>142.37</v>
      </c>
      <c r="J130" s="40">
        <v>12</v>
      </c>
      <c r="K130" s="41">
        <f t="shared" ref="K130:K193" si="42">J130*8</f>
        <v>96</v>
      </c>
      <c r="L130" s="40">
        <v>18.399999999999999</v>
      </c>
      <c r="M130" s="40">
        <f t="shared" ref="M130:M193" si="43">SUM(K130,L130)</f>
        <v>114.4</v>
      </c>
      <c r="N130" s="42">
        <v>15</v>
      </c>
      <c r="O130" s="43">
        <f t="shared" ref="O130:O193" si="44">N130*8</f>
        <v>120</v>
      </c>
      <c r="P130" s="42">
        <v>14.45</v>
      </c>
      <c r="Q130" s="42">
        <f t="shared" ref="Q130:Q193" si="45">SUM(O130,P130)</f>
        <v>134.44999999999999</v>
      </c>
      <c r="R130" s="44">
        <f t="shared" ref="R130:R193" si="46">SUM(F130,J130,N130)</f>
        <v>43</v>
      </c>
      <c r="S130" s="45">
        <f t="shared" ref="S130:S193" si="47">R130*8</f>
        <v>344</v>
      </c>
      <c r="T130" s="44">
        <f t="shared" ref="T130:T193" si="48">SUM(G130,H130,K130,L130,O130,P130)</f>
        <v>391.21999999999997</v>
      </c>
      <c r="U130" s="46">
        <f t="shared" ref="U130:U193" si="49">T130-S130</f>
        <v>47.21999999999997</v>
      </c>
      <c r="V130" s="47"/>
      <c r="W130" s="48">
        <f t="shared" ref="W130:W193" si="50">V130*8</f>
        <v>0</v>
      </c>
      <c r="X130" s="49"/>
      <c r="Y130" s="50">
        <f t="shared" ref="Y130:Y193" si="51">X130*8</f>
        <v>0</v>
      </c>
      <c r="Z130" s="51"/>
      <c r="AA130" s="52">
        <f t="shared" ref="AA130:AA193" si="52">Z130*8</f>
        <v>0</v>
      </c>
      <c r="AB130" s="36">
        <v>24</v>
      </c>
      <c r="AC130" s="36">
        <v>209.75</v>
      </c>
      <c r="AD130" s="29">
        <f t="shared" ref="AD130:AD193" si="53">SUM(T130,AA130,Y130,W130,AC130)</f>
        <v>600.97</v>
      </c>
    </row>
    <row r="131" spans="1:30" ht="15" customHeight="1" x14ac:dyDescent="0.25">
      <c r="A131" s="17">
        <f t="shared" si="36"/>
        <v>46222</v>
      </c>
      <c r="B131" s="18">
        <f t="shared" si="37"/>
        <v>6</v>
      </c>
      <c r="C131" s="18" t="str">
        <f t="shared" si="38"/>
        <v>Jul 2026</v>
      </c>
      <c r="D131" s="37">
        <v>46227</v>
      </c>
      <c r="E131" s="17" t="str">
        <f t="shared" si="39"/>
        <v>Friday</v>
      </c>
      <c r="F131" s="38">
        <v>14</v>
      </c>
      <c r="G131" s="39">
        <f t="shared" si="40"/>
        <v>112</v>
      </c>
      <c r="H131" s="38">
        <v>6.83</v>
      </c>
      <c r="I131" s="38">
        <f t="shared" si="41"/>
        <v>118.83</v>
      </c>
      <c r="J131" s="40"/>
      <c r="K131" s="41">
        <f t="shared" si="42"/>
        <v>0</v>
      </c>
      <c r="L131" s="40"/>
      <c r="M131" s="40">
        <f t="shared" si="43"/>
        <v>0</v>
      </c>
      <c r="N131" s="42"/>
      <c r="O131" s="43">
        <f t="shared" si="44"/>
        <v>0</v>
      </c>
      <c r="P131" s="42"/>
      <c r="Q131" s="42">
        <f t="shared" si="45"/>
        <v>0</v>
      </c>
      <c r="R131" s="44">
        <f t="shared" si="46"/>
        <v>14</v>
      </c>
      <c r="S131" s="45">
        <f t="shared" si="47"/>
        <v>112</v>
      </c>
      <c r="T131" s="44">
        <f t="shared" si="48"/>
        <v>118.83</v>
      </c>
      <c r="U131" s="46">
        <f t="shared" si="49"/>
        <v>6.8299999999999983</v>
      </c>
      <c r="V131" s="47"/>
      <c r="W131" s="48">
        <f t="shared" si="50"/>
        <v>0</v>
      </c>
      <c r="X131" s="49"/>
      <c r="Y131" s="50">
        <f t="shared" si="51"/>
        <v>0</v>
      </c>
      <c r="Z131" s="51"/>
      <c r="AA131" s="52">
        <f t="shared" si="52"/>
        <v>0</v>
      </c>
      <c r="AB131" s="36">
        <v>8</v>
      </c>
      <c r="AC131" s="36">
        <v>50.5</v>
      </c>
      <c r="AD131" s="29">
        <f>SUM(T131,AA131,Y131,W131,AC131)</f>
        <v>169.32999999999998</v>
      </c>
    </row>
    <row r="132" spans="1:30" ht="15" customHeight="1" x14ac:dyDescent="0.25">
      <c r="A132" s="17">
        <f t="shared" si="36"/>
        <v>46222</v>
      </c>
      <c r="B132" s="18">
        <f t="shared" si="37"/>
        <v>7</v>
      </c>
      <c r="C132" s="18" t="str">
        <f t="shared" si="38"/>
        <v>Jul 2026</v>
      </c>
      <c r="D132" s="37">
        <v>46228</v>
      </c>
      <c r="E132" s="17" t="str">
        <f t="shared" si="39"/>
        <v>Saturday</v>
      </c>
      <c r="F132" s="75">
        <v>15</v>
      </c>
      <c r="G132" s="76">
        <v>120</v>
      </c>
      <c r="H132" s="75">
        <v>4.05</v>
      </c>
      <c r="I132" s="75">
        <v>124.05</v>
      </c>
      <c r="J132" s="77">
        <v>12</v>
      </c>
      <c r="K132" s="78">
        <v>96</v>
      </c>
      <c r="L132" s="77">
        <v>13.37</v>
      </c>
      <c r="M132" s="77">
        <v>109.37</v>
      </c>
      <c r="N132" s="42">
        <v>13</v>
      </c>
      <c r="O132" s="43">
        <v>104</v>
      </c>
      <c r="P132" s="42">
        <v>9.17</v>
      </c>
      <c r="Q132" s="42">
        <v>113.17</v>
      </c>
      <c r="R132" s="44">
        <v>40</v>
      </c>
      <c r="S132" s="79">
        <v>320</v>
      </c>
      <c r="T132" s="44">
        <v>346.59</v>
      </c>
      <c r="U132" s="46">
        <v>26.59</v>
      </c>
      <c r="V132" s="47"/>
      <c r="W132" s="48">
        <f t="shared" si="50"/>
        <v>0</v>
      </c>
      <c r="X132" s="49"/>
      <c r="Y132" s="50">
        <f t="shared" si="51"/>
        <v>0</v>
      </c>
      <c r="Z132" s="51"/>
      <c r="AA132" s="52">
        <f t="shared" si="52"/>
        <v>0</v>
      </c>
      <c r="AB132" s="36">
        <v>32</v>
      </c>
      <c r="AC132" s="36">
        <v>260.3</v>
      </c>
      <c r="AD132" s="29">
        <f t="shared" ref="AD132:AD138" si="54">SUM(T132,AA132,Y132,W132,AC132)</f>
        <v>606.89</v>
      </c>
    </row>
    <row r="133" spans="1:30" ht="15" customHeight="1" x14ac:dyDescent="0.25">
      <c r="A133" s="17">
        <f t="shared" si="36"/>
        <v>46229</v>
      </c>
      <c r="B133" s="18">
        <f t="shared" si="37"/>
        <v>1</v>
      </c>
      <c r="C133" s="18" t="str">
        <f t="shared" si="38"/>
        <v>Jul 2026</v>
      </c>
      <c r="D133" s="37">
        <v>46229</v>
      </c>
      <c r="E133" s="17" t="str">
        <f t="shared" si="39"/>
        <v>Sunday</v>
      </c>
      <c r="F133" s="75">
        <v>16</v>
      </c>
      <c r="G133" s="76">
        <v>128</v>
      </c>
      <c r="H133" s="75">
        <v>12.32</v>
      </c>
      <c r="I133" s="75">
        <v>140.32</v>
      </c>
      <c r="J133" s="77">
        <v>12</v>
      </c>
      <c r="K133" s="78">
        <v>96</v>
      </c>
      <c r="L133" s="77">
        <v>5.87</v>
      </c>
      <c r="M133" s="77">
        <v>101.87</v>
      </c>
      <c r="N133" s="42">
        <v>13</v>
      </c>
      <c r="O133" s="43">
        <v>104</v>
      </c>
      <c r="P133" s="42">
        <v>-8.75</v>
      </c>
      <c r="Q133" s="42">
        <v>95.25</v>
      </c>
      <c r="R133" s="44">
        <v>41</v>
      </c>
      <c r="S133" s="79">
        <v>328</v>
      </c>
      <c r="T133" s="44">
        <v>337.44</v>
      </c>
      <c r="U133" s="46">
        <v>9.44</v>
      </c>
      <c r="V133" s="47"/>
      <c r="W133" s="48">
        <f t="shared" si="50"/>
        <v>0</v>
      </c>
      <c r="X133" s="49"/>
      <c r="Y133" s="50">
        <f t="shared" si="51"/>
        <v>0</v>
      </c>
      <c r="Z133" s="51"/>
      <c r="AA133" s="52">
        <f t="shared" si="52"/>
        <v>0</v>
      </c>
      <c r="AB133" s="36">
        <v>24</v>
      </c>
      <c r="AC133" s="36">
        <v>190.5</v>
      </c>
      <c r="AD133" s="29">
        <f t="shared" si="54"/>
        <v>527.94000000000005</v>
      </c>
    </row>
    <row r="134" spans="1:30" ht="15" customHeight="1" x14ac:dyDescent="0.25">
      <c r="A134" s="17">
        <f t="shared" si="36"/>
        <v>46229</v>
      </c>
      <c r="B134" s="18">
        <f t="shared" si="37"/>
        <v>2</v>
      </c>
      <c r="C134" s="18" t="str">
        <f t="shared" si="38"/>
        <v>Jul 2026</v>
      </c>
      <c r="D134" s="37">
        <v>46230</v>
      </c>
      <c r="E134" s="17" t="str">
        <f t="shared" si="39"/>
        <v>Monday</v>
      </c>
      <c r="F134" s="75">
        <v>16</v>
      </c>
      <c r="G134" s="76">
        <v>128</v>
      </c>
      <c r="H134" s="75">
        <v>20.079999999999998</v>
      </c>
      <c r="I134" s="75">
        <v>148.08000000000001</v>
      </c>
      <c r="J134" s="77">
        <v>13</v>
      </c>
      <c r="K134" s="78">
        <v>104</v>
      </c>
      <c r="L134" s="77">
        <v>7.45</v>
      </c>
      <c r="M134" s="77">
        <v>111.45</v>
      </c>
      <c r="N134" s="42">
        <v>12</v>
      </c>
      <c r="O134" s="43">
        <v>96</v>
      </c>
      <c r="P134" s="42">
        <v>-6</v>
      </c>
      <c r="Q134" s="42">
        <v>90</v>
      </c>
      <c r="R134" s="44">
        <v>41</v>
      </c>
      <c r="S134" s="79">
        <v>328</v>
      </c>
      <c r="T134" s="44">
        <v>349.53</v>
      </c>
      <c r="U134" s="46">
        <v>21.53</v>
      </c>
      <c r="V134" s="47"/>
      <c r="W134" s="48">
        <f t="shared" si="50"/>
        <v>0</v>
      </c>
      <c r="X134" s="49"/>
      <c r="Y134" s="50">
        <f t="shared" si="51"/>
        <v>0</v>
      </c>
      <c r="Z134" s="51"/>
      <c r="AA134" s="52">
        <f t="shared" si="52"/>
        <v>0</v>
      </c>
      <c r="AB134" s="36">
        <v>22</v>
      </c>
      <c r="AC134" s="36">
        <v>161.5</v>
      </c>
      <c r="AD134" s="29">
        <f t="shared" si="54"/>
        <v>511.03</v>
      </c>
    </row>
    <row r="135" spans="1:30" ht="15" customHeight="1" x14ac:dyDescent="0.25">
      <c r="A135" s="17">
        <f t="shared" si="36"/>
        <v>46229</v>
      </c>
      <c r="B135" s="18">
        <f t="shared" si="37"/>
        <v>3</v>
      </c>
      <c r="C135" s="18" t="str">
        <f t="shared" si="38"/>
        <v>Jul 2026</v>
      </c>
      <c r="D135" s="37">
        <v>46231</v>
      </c>
      <c r="E135" s="17" t="str">
        <f t="shared" si="39"/>
        <v>Tuesday</v>
      </c>
      <c r="F135" s="75">
        <v>16</v>
      </c>
      <c r="G135" s="76">
        <v>128</v>
      </c>
      <c r="H135" s="75">
        <v>5.7</v>
      </c>
      <c r="I135" s="75">
        <v>133.69999999999999</v>
      </c>
      <c r="J135" s="77">
        <v>14</v>
      </c>
      <c r="K135" s="78">
        <v>112</v>
      </c>
      <c r="L135" s="77">
        <v>5.12</v>
      </c>
      <c r="M135" s="77">
        <v>117.12</v>
      </c>
      <c r="N135" s="42">
        <v>13</v>
      </c>
      <c r="O135" s="43">
        <v>104</v>
      </c>
      <c r="P135" s="42">
        <v>-6.6</v>
      </c>
      <c r="Q135" s="42">
        <v>97.4</v>
      </c>
      <c r="R135" s="44">
        <v>43</v>
      </c>
      <c r="S135" s="79">
        <v>344</v>
      </c>
      <c r="T135" s="44">
        <v>348.22</v>
      </c>
      <c r="U135" s="46">
        <v>4.2200000000000299</v>
      </c>
      <c r="V135" s="47"/>
      <c r="W135" s="48">
        <f t="shared" si="50"/>
        <v>0</v>
      </c>
      <c r="X135" s="49"/>
      <c r="Y135" s="50">
        <f t="shared" si="51"/>
        <v>0</v>
      </c>
      <c r="Z135" s="51"/>
      <c r="AA135" s="52">
        <f t="shared" si="52"/>
        <v>0</v>
      </c>
      <c r="AB135" s="36">
        <v>21</v>
      </c>
      <c r="AC135" s="36">
        <v>149.5</v>
      </c>
      <c r="AD135" s="29">
        <f t="shared" si="54"/>
        <v>497.72</v>
      </c>
    </row>
    <row r="136" spans="1:30" ht="15" customHeight="1" x14ac:dyDescent="0.25">
      <c r="A136" s="17">
        <f t="shared" si="36"/>
        <v>46229</v>
      </c>
      <c r="B136" s="18">
        <f t="shared" si="37"/>
        <v>4</v>
      </c>
      <c r="C136" s="18" t="str">
        <f t="shared" si="38"/>
        <v>Jul 2026</v>
      </c>
      <c r="D136" s="37">
        <v>46232</v>
      </c>
      <c r="E136" s="17" t="str">
        <f t="shared" si="39"/>
        <v>Wednesday</v>
      </c>
      <c r="F136" s="75">
        <v>19</v>
      </c>
      <c r="G136" s="76">
        <v>152</v>
      </c>
      <c r="H136" s="75">
        <v>11.02</v>
      </c>
      <c r="I136" s="75">
        <v>163.02000000000001</v>
      </c>
      <c r="J136" s="77">
        <v>14</v>
      </c>
      <c r="K136" s="78">
        <v>112</v>
      </c>
      <c r="L136" s="77">
        <v>0.82</v>
      </c>
      <c r="M136" s="77">
        <v>112.82</v>
      </c>
      <c r="N136" s="42">
        <v>12</v>
      </c>
      <c r="O136" s="43">
        <v>96</v>
      </c>
      <c r="P136" s="42">
        <v>-2.4300000000000002</v>
      </c>
      <c r="Q136" s="42">
        <v>93.57</v>
      </c>
      <c r="R136" s="44">
        <v>45</v>
      </c>
      <c r="S136" s="79">
        <v>360</v>
      </c>
      <c r="T136" s="44">
        <v>369.41</v>
      </c>
      <c r="U136" s="46">
        <v>9.4100000000000303</v>
      </c>
      <c r="V136" s="47"/>
      <c r="W136" s="48">
        <f t="shared" si="50"/>
        <v>0</v>
      </c>
      <c r="X136" s="49"/>
      <c r="Y136" s="50">
        <f t="shared" si="51"/>
        <v>0</v>
      </c>
      <c r="Z136" s="51"/>
      <c r="AA136" s="52">
        <f t="shared" si="52"/>
        <v>0</v>
      </c>
      <c r="AB136" s="36">
        <v>18</v>
      </c>
      <c r="AC136" s="36">
        <v>131.5</v>
      </c>
      <c r="AD136" s="29">
        <f t="shared" si="54"/>
        <v>500.91</v>
      </c>
    </row>
    <row r="137" spans="1:30" ht="15" customHeight="1" x14ac:dyDescent="0.25">
      <c r="A137" s="17">
        <f t="shared" si="36"/>
        <v>46229</v>
      </c>
      <c r="B137" s="18">
        <f t="shared" si="37"/>
        <v>5</v>
      </c>
      <c r="C137" s="18" t="str">
        <f t="shared" si="38"/>
        <v>Jul 2026</v>
      </c>
      <c r="D137" s="37">
        <v>46233</v>
      </c>
      <c r="E137" s="17" t="str">
        <f t="shared" si="39"/>
        <v>Thursday</v>
      </c>
      <c r="F137" s="75">
        <v>16</v>
      </c>
      <c r="G137" s="76">
        <v>128</v>
      </c>
      <c r="H137" s="75">
        <v>9.8699999999999992</v>
      </c>
      <c r="I137" s="75">
        <v>137.87</v>
      </c>
      <c r="J137" s="77">
        <v>14</v>
      </c>
      <c r="K137" s="78">
        <v>112</v>
      </c>
      <c r="L137" s="77">
        <v>23.48</v>
      </c>
      <c r="M137" s="77">
        <v>135.47999999999999</v>
      </c>
      <c r="N137" s="42">
        <v>12</v>
      </c>
      <c r="O137" s="43">
        <v>96</v>
      </c>
      <c r="P137" s="42">
        <v>20.78</v>
      </c>
      <c r="Q137" s="42">
        <v>116.78</v>
      </c>
      <c r="R137" s="44">
        <v>42</v>
      </c>
      <c r="S137" s="79">
        <v>336</v>
      </c>
      <c r="T137" s="44">
        <v>390.13</v>
      </c>
      <c r="U137" s="46">
        <v>54.13</v>
      </c>
      <c r="V137" s="47"/>
      <c r="W137" s="48">
        <f t="shared" si="50"/>
        <v>0</v>
      </c>
      <c r="X137" s="49"/>
      <c r="Y137" s="50">
        <f t="shared" si="51"/>
        <v>0</v>
      </c>
      <c r="Z137" s="51"/>
      <c r="AA137" s="52">
        <f t="shared" si="52"/>
        <v>0</v>
      </c>
      <c r="AB137" s="36">
        <v>25</v>
      </c>
      <c r="AC137" s="36">
        <v>216.5</v>
      </c>
      <c r="AD137" s="29">
        <f t="shared" si="54"/>
        <v>606.63</v>
      </c>
    </row>
    <row r="138" spans="1:30" ht="15" customHeight="1" x14ac:dyDescent="0.25">
      <c r="A138" s="17">
        <f t="shared" si="36"/>
        <v>46229</v>
      </c>
      <c r="B138" s="18">
        <f t="shared" si="37"/>
        <v>6</v>
      </c>
      <c r="C138" s="18" t="str">
        <f t="shared" si="38"/>
        <v>Jul 2026</v>
      </c>
      <c r="D138" s="37">
        <v>46234</v>
      </c>
      <c r="E138" s="17" t="str">
        <f t="shared" si="39"/>
        <v>Friday</v>
      </c>
      <c r="F138" s="75">
        <v>15</v>
      </c>
      <c r="G138" s="76">
        <v>120</v>
      </c>
      <c r="H138" s="75">
        <v>1.8</v>
      </c>
      <c r="I138" s="75">
        <v>121.8</v>
      </c>
      <c r="J138" s="77"/>
      <c r="K138" s="78">
        <v>0</v>
      </c>
      <c r="L138" s="77"/>
      <c r="M138" s="77">
        <v>0</v>
      </c>
      <c r="N138" s="42"/>
      <c r="O138" s="43">
        <v>0</v>
      </c>
      <c r="P138" s="42"/>
      <c r="Q138" s="42">
        <v>0</v>
      </c>
      <c r="R138" s="44">
        <v>15</v>
      </c>
      <c r="S138" s="79">
        <v>120</v>
      </c>
      <c r="T138" s="44">
        <v>121.8</v>
      </c>
      <c r="U138" s="46">
        <v>1.8</v>
      </c>
      <c r="V138" s="47"/>
      <c r="W138" s="48">
        <f t="shared" si="50"/>
        <v>0</v>
      </c>
      <c r="X138" s="49"/>
      <c r="Y138" s="50">
        <f t="shared" si="51"/>
        <v>0</v>
      </c>
      <c r="Z138" s="51"/>
      <c r="AA138" s="52">
        <f t="shared" si="52"/>
        <v>0</v>
      </c>
      <c r="AB138" s="36">
        <v>9</v>
      </c>
      <c r="AC138" s="36">
        <v>62.25</v>
      </c>
      <c r="AD138" s="29">
        <f t="shared" si="54"/>
        <v>184.05</v>
      </c>
    </row>
    <row r="139" spans="1:30" ht="15" customHeight="1" x14ac:dyDescent="0.25">
      <c r="A139" s="17">
        <f t="shared" si="36"/>
        <v>46229</v>
      </c>
      <c r="B139" s="18">
        <f t="shared" si="37"/>
        <v>7</v>
      </c>
      <c r="C139" s="18" t="str">
        <f t="shared" si="38"/>
        <v>Aug 2026</v>
      </c>
      <c r="D139" s="37">
        <v>46235</v>
      </c>
      <c r="E139" s="17" t="str">
        <f t="shared" si="39"/>
        <v>Saturday</v>
      </c>
      <c r="F139" s="38"/>
      <c r="G139" s="39">
        <f t="shared" si="40"/>
        <v>0</v>
      </c>
      <c r="H139" s="38"/>
      <c r="I139" s="38">
        <f t="shared" si="41"/>
        <v>0</v>
      </c>
      <c r="J139" s="40"/>
      <c r="K139" s="41">
        <f t="shared" si="42"/>
        <v>0</v>
      </c>
      <c r="L139" s="40"/>
      <c r="M139" s="40">
        <f t="shared" si="43"/>
        <v>0</v>
      </c>
      <c r="N139" s="42"/>
      <c r="O139" s="43">
        <f t="shared" si="44"/>
        <v>0</v>
      </c>
      <c r="P139" s="42"/>
      <c r="Q139" s="42">
        <f t="shared" si="45"/>
        <v>0</v>
      </c>
      <c r="R139" s="44">
        <f t="shared" si="46"/>
        <v>0</v>
      </c>
      <c r="S139" s="45">
        <f t="shared" si="47"/>
        <v>0</v>
      </c>
      <c r="T139" s="44">
        <f t="shared" si="48"/>
        <v>0</v>
      </c>
      <c r="U139" s="46">
        <f t="shared" si="49"/>
        <v>0</v>
      </c>
      <c r="V139" s="47"/>
      <c r="W139" s="48">
        <f t="shared" si="50"/>
        <v>0</v>
      </c>
      <c r="X139" s="49"/>
      <c r="Y139" s="50">
        <f t="shared" si="51"/>
        <v>0</v>
      </c>
      <c r="Z139" s="51"/>
      <c r="AA139" s="52">
        <f t="shared" si="52"/>
        <v>0</v>
      </c>
      <c r="AB139" s="36">
        <v>28</v>
      </c>
      <c r="AC139" s="36">
        <v>231.25</v>
      </c>
      <c r="AD139" s="29">
        <f t="shared" si="53"/>
        <v>231.25</v>
      </c>
    </row>
    <row r="140" spans="1:30" ht="15" customHeight="1" x14ac:dyDescent="0.25">
      <c r="A140" s="17">
        <f t="shared" si="36"/>
        <v>46236</v>
      </c>
      <c r="B140" s="18">
        <f t="shared" si="37"/>
        <v>1</v>
      </c>
      <c r="C140" s="18" t="str">
        <f t="shared" si="38"/>
        <v>Aug 2026</v>
      </c>
      <c r="D140" s="37">
        <v>46236</v>
      </c>
      <c r="E140" s="17" t="str">
        <f t="shared" si="39"/>
        <v>Sunday</v>
      </c>
      <c r="F140" s="38"/>
      <c r="G140" s="39">
        <f t="shared" si="40"/>
        <v>0</v>
      </c>
      <c r="H140" s="38"/>
      <c r="I140" s="38">
        <f t="shared" si="41"/>
        <v>0</v>
      </c>
      <c r="J140" s="40"/>
      <c r="K140" s="41">
        <f t="shared" si="42"/>
        <v>0</v>
      </c>
      <c r="L140" s="40"/>
      <c r="M140" s="40">
        <f t="shared" si="43"/>
        <v>0</v>
      </c>
      <c r="N140" s="42"/>
      <c r="O140" s="43">
        <f t="shared" si="44"/>
        <v>0</v>
      </c>
      <c r="P140" s="42"/>
      <c r="Q140" s="42">
        <f t="shared" si="45"/>
        <v>0</v>
      </c>
      <c r="R140" s="44">
        <f t="shared" si="46"/>
        <v>0</v>
      </c>
      <c r="S140" s="45">
        <f t="shared" si="47"/>
        <v>0</v>
      </c>
      <c r="T140" s="44">
        <f t="shared" si="48"/>
        <v>0</v>
      </c>
      <c r="U140" s="46">
        <f t="shared" si="49"/>
        <v>0</v>
      </c>
      <c r="V140" s="47"/>
      <c r="W140" s="48">
        <f t="shared" si="50"/>
        <v>0</v>
      </c>
      <c r="X140" s="49"/>
      <c r="Y140" s="50">
        <f t="shared" si="51"/>
        <v>0</v>
      </c>
      <c r="Z140" s="51"/>
      <c r="AA140" s="52">
        <f t="shared" si="52"/>
        <v>0</v>
      </c>
      <c r="AB140" s="36">
        <v>19</v>
      </c>
      <c r="AC140" s="36">
        <v>149.75</v>
      </c>
      <c r="AD140" s="29">
        <f t="shared" si="53"/>
        <v>149.75</v>
      </c>
    </row>
    <row r="141" spans="1:30" ht="15" customHeight="1" x14ac:dyDescent="0.25">
      <c r="A141" s="17">
        <f t="shared" si="36"/>
        <v>46236</v>
      </c>
      <c r="B141" s="18">
        <f t="shared" si="37"/>
        <v>2</v>
      </c>
      <c r="C141" s="18" t="str">
        <f t="shared" si="38"/>
        <v>Aug 2026</v>
      </c>
      <c r="D141" s="37">
        <v>46237</v>
      </c>
      <c r="E141" s="17" t="str">
        <f t="shared" si="39"/>
        <v>Monday</v>
      </c>
      <c r="F141" s="38"/>
      <c r="G141" s="39">
        <f t="shared" si="40"/>
        <v>0</v>
      </c>
      <c r="H141" s="38"/>
      <c r="I141" s="38">
        <f t="shared" si="41"/>
        <v>0</v>
      </c>
      <c r="J141" s="40"/>
      <c r="K141" s="41">
        <f t="shared" si="42"/>
        <v>0</v>
      </c>
      <c r="L141" s="40"/>
      <c r="M141" s="40">
        <f t="shared" si="43"/>
        <v>0</v>
      </c>
      <c r="N141" s="42"/>
      <c r="O141" s="43">
        <f t="shared" si="44"/>
        <v>0</v>
      </c>
      <c r="P141" s="42"/>
      <c r="Q141" s="42">
        <f t="shared" si="45"/>
        <v>0</v>
      </c>
      <c r="R141" s="44">
        <f t="shared" si="46"/>
        <v>0</v>
      </c>
      <c r="S141" s="45">
        <f t="shared" si="47"/>
        <v>0</v>
      </c>
      <c r="T141" s="44">
        <f t="shared" si="48"/>
        <v>0</v>
      </c>
      <c r="U141" s="46">
        <f t="shared" si="49"/>
        <v>0</v>
      </c>
      <c r="V141" s="47"/>
      <c r="W141" s="48">
        <f t="shared" si="50"/>
        <v>0</v>
      </c>
      <c r="X141" s="49"/>
      <c r="Y141" s="50">
        <f t="shared" si="51"/>
        <v>0</v>
      </c>
      <c r="Z141" s="51"/>
      <c r="AA141" s="52">
        <f t="shared" si="52"/>
        <v>0</v>
      </c>
      <c r="AB141" s="36">
        <v>14</v>
      </c>
      <c r="AC141" s="36">
        <v>99.3</v>
      </c>
      <c r="AD141" s="29">
        <f t="shared" si="53"/>
        <v>99.3</v>
      </c>
    </row>
    <row r="142" spans="1:30" ht="15" customHeight="1" x14ac:dyDescent="0.25">
      <c r="A142" s="17">
        <f t="shared" si="36"/>
        <v>46236</v>
      </c>
      <c r="B142" s="18">
        <f t="shared" si="37"/>
        <v>3</v>
      </c>
      <c r="C142" s="18" t="str">
        <f t="shared" si="38"/>
        <v>Aug 2026</v>
      </c>
      <c r="D142" s="37">
        <v>46238</v>
      </c>
      <c r="E142" s="17" t="str">
        <f t="shared" si="39"/>
        <v>Tuesday</v>
      </c>
      <c r="F142" s="38"/>
      <c r="G142" s="39">
        <f t="shared" si="40"/>
        <v>0</v>
      </c>
      <c r="H142" s="38"/>
      <c r="I142" s="38">
        <f t="shared" si="41"/>
        <v>0</v>
      </c>
      <c r="J142" s="40"/>
      <c r="K142" s="41">
        <f t="shared" si="42"/>
        <v>0</v>
      </c>
      <c r="L142" s="40"/>
      <c r="M142" s="40">
        <f t="shared" si="43"/>
        <v>0</v>
      </c>
      <c r="N142" s="42"/>
      <c r="O142" s="43">
        <f t="shared" si="44"/>
        <v>0</v>
      </c>
      <c r="P142" s="42"/>
      <c r="Q142" s="42">
        <f t="shared" si="45"/>
        <v>0</v>
      </c>
      <c r="R142" s="44">
        <f t="shared" si="46"/>
        <v>0</v>
      </c>
      <c r="S142" s="45">
        <f t="shared" si="47"/>
        <v>0</v>
      </c>
      <c r="T142" s="44">
        <f t="shared" si="48"/>
        <v>0</v>
      </c>
      <c r="U142" s="46">
        <f t="shared" si="49"/>
        <v>0</v>
      </c>
      <c r="V142" s="47"/>
      <c r="W142" s="48">
        <f t="shared" si="50"/>
        <v>0</v>
      </c>
      <c r="X142" s="49"/>
      <c r="Y142" s="50">
        <f t="shared" si="51"/>
        <v>0</v>
      </c>
      <c r="Z142" s="51"/>
      <c r="AA142" s="52">
        <f t="shared" si="52"/>
        <v>0</v>
      </c>
      <c r="AB142" s="36">
        <v>15</v>
      </c>
      <c r="AC142" s="36">
        <v>113.8</v>
      </c>
      <c r="AD142" s="29">
        <f t="shared" si="53"/>
        <v>113.8</v>
      </c>
    </row>
    <row r="143" spans="1:30" ht="15" customHeight="1" x14ac:dyDescent="0.25">
      <c r="A143" s="17">
        <f t="shared" si="36"/>
        <v>46236</v>
      </c>
      <c r="B143" s="18">
        <f t="shared" si="37"/>
        <v>4</v>
      </c>
      <c r="C143" s="18" t="str">
        <f t="shared" si="38"/>
        <v>Aug 2026</v>
      </c>
      <c r="D143" s="37">
        <v>46239</v>
      </c>
      <c r="E143" s="17" t="str">
        <f t="shared" si="39"/>
        <v>Wednesday</v>
      </c>
      <c r="F143" s="38"/>
      <c r="G143" s="39">
        <f t="shared" si="40"/>
        <v>0</v>
      </c>
      <c r="H143" s="38"/>
      <c r="I143" s="38">
        <f t="shared" si="41"/>
        <v>0</v>
      </c>
      <c r="J143" s="40"/>
      <c r="K143" s="41">
        <f t="shared" si="42"/>
        <v>0</v>
      </c>
      <c r="L143" s="40"/>
      <c r="M143" s="40">
        <f t="shared" si="43"/>
        <v>0</v>
      </c>
      <c r="N143" s="42"/>
      <c r="O143" s="43">
        <f t="shared" si="44"/>
        <v>0</v>
      </c>
      <c r="P143" s="42"/>
      <c r="Q143" s="42">
        <f t="shared" si="45"/>
        <v>0</v>
      </c>
      <c r="R143" s="44">
        <f t="shared" si="46"/>
        <v>0</v>
      </c>
      <c r="S143" s="45">
        <f t="shared" si="47"/>
        <v>0</v>
      </c>
      <c r="T143" s="44">
        <f t="shared" si="48"/>
        <v>0</v>
      </c>
      <c r="U143" s="46">
        <f t="shared" si="49"/>
        <v>0</v>
      </c>
      <c r="V143" s="47"/>
      <c r="W143" s="48">
        <f t="shared" si="50"/>
        <v>0</v>
      </c>
      <c r="X143" s="49"/>
      <c r="Y143" s="50">
        <f t="shared" si="51"/>
        <v>0</v>
      </c>
      <c r="Z143" s="51"/>
      <c r="AA143" s="52">
        <f t="shared" si="52"/>
        <v>0</v>
      </c>
      <c r="AB143" s="36">
        <v>13</v>
      </c>
      <c r="AC143" s="36">
        <v>97.5</v>
      </c>
      <c r="AD143" s="29">
        <f t="shared" si="53"/>
        <v>97.5</v>
      </c>
    </row>
    <row r="144" spans="1:30" ht="15" customHeight="1" x14ac:dyDescent="0.25">
      <c r="A144" s="17">
        <f t="shared" si="36"/>
        <v>46236</v>
      </c>
      <c r="B144" s="18">
        <f t="shared" si="37"/>
        <v>5</v>
      </c>
      <c r="C144" s="18" t="str">
        <f t="shared" si="38"/>
        <v>Aug 2026</v>
      </c>
      <c r="D144" s="37">
        <v>46240</v>
      </c>
      <c r="E144" s="17" t="str">
        <f t="shared" si="39"/>
        <v>Thursday</v>
      </c>
      <c r="F144" s="38"/>
      <c r="G144" s="39">
        <f t="shared" si="40"/>
        <v>0</v>
      </c>
      <c r="H144" s="38"/>
      <c r="I144" s="38">
        <f t="shared" si="41"/>
        <v>0</v>
      </c>
      <c r="J144" s="40"/>
      <c r="K144" s="41">
        <f t="shared" si="42"/>
        <v>0</v>
      </c>
      <c r="L144" s="40"/>
      <c r="M144" s="40">
        <f t="shared" si="43"/>
        <v>0</v>
      </c>
      <c r="N144" s="42"/>
      <c r="O144" s="43">
        <f t="shared" si="44"/>
        <v>0</v>
      </c>
      <c r="P144" s="42"/>
      <c r="Q144" s="42">
        <f t="shared" si="45"/>
        <v>0</v>
      </c>
      <c r="R144" s="44">
        <f t="shared" si="46"/>
        <v>0</v>
      </c>
      <c r="S144" s="45">
        <f t="shared" si="47"/>
        <v>0</v>
      </c>
      <c r="T144" s="44">
        <f t="shared" si="48"/>
        <v>0</v>
      </c>
      <c r="U144" s="46">
        <f t="shared" si="49"/>
        <v>0</v>
      </c>
      <c r="V144" s="47"/>
      <c r="W144" s="48">
        <f t="shared" si="50"/>
        <v>0</v>
      </c>
      <c r="X144" s="49"/>
      <c r="Y144" s="50">
        <f t="shared" si="51"/>
        <v>0</v>
      </c>
      <c r="Z144" s="51"/>
      <c r="AA144" s="52">
        <f t="shared" si="52"/>
        <v>0</v>
      </c>
      <c r="AB144" s="36">
        <v>20</v>
      </c>
      <c r="AC144" s="36">
        <v>160.5</v>
      </c>
      <c r="AD144" s="29">
        <f t="shared" si="53"/>
        <v>160.5</v>
      </c>
    </row>
    <row r="145" spans="1:30" ht="15" customHeight="1" x14ac:dyDescent="0.25">
      <c r="A145" s="17">
        <f t="shared" si="36"/>
        <v>46236</v>
      </c>
      <c r="B145" s="18">
        <f t="shared" si="37"/>
        <v>6</v>
      </c>
      <c r="C145" s="18" t="str">
        <f t="shared" si="38"/>
        <v>Aug 2026</v>
      </c>
      <c r="D145" s="37">
        <v>46241</v>
      </c>
      <c r="E145" s="17" t="str">
        <f t="shared" si="39"/>
        <v>Friday</v>
      </c>
      <c r="F145" s="38"/>
      <c r="G145" s="39">
        <f t="shared" si="40"/>
        <v>0</v>
      </c>
      <c r="H145" s="38"/>
      <c r="I145" s="38">
        <f t="shared" si="41"/>
        <v>0</v>
      </c>
      <c r="J145" s="40"/>
      <c r="K145" s="41">
        <f t="shared" si="42"/>
        <v>0</v>
      </c>
      <c r="L145" s="40"/>
      <c r="M145" s="40">
        <f t="shared" si="43"/>
        <v>0</v>
      </c>
      <c r="N145" s="42"/>
      <c r="O145" s="43">
        <f t="shared" si="44"/>
        <v>0</v>
      </c>
      <c r="P145" s="42"/>
      <c r="Q145" s="42">
        <f t="shared" si="45"/>
        <v>0</v>
      </c>
      <c r="R145" s="44">
        <f t="shared" si="46"/>
        <v>0</v>
      </c>
      <c r="S145" s="45">
        <f t="shared" si="47"/>
        <v>0</v>
      </c>
      <c r="T145" s="44">
        <f t="shared" si="48"/>
        <v>0</v>
      </c>
      <c r="U145" s="46">
        <f t="shared" si="49"/>
        <v>0</v>
      </c>
      <c r="V145" s="47"/>
      <c r="W145" s="48">
        <f t="shared" si="50"/>
        <v>0</v>
      </c>
      <c r="X145" s="49"/>
      <c r="Y145" s="50">
        <f t="shared" si="51"/>
        <v>0</v>
      </c>
      <c r="Z145" s="51"/>
      <c r="AA145" s="52">
        <f t="shared" si="52"/>
        <v>0</v>
      </c>
      <c r="AB145" s="36">
        <v>6</v>
      </c>
      <c r="AC145" s="36">
        <v>44.75</v>
      </c>
      <c r="AD145" s="29">
        <f t="shared" si="53"/>
        <v>44.75</v>
      </c>
    </row>
    <row r="146" spans="1:30" ht="15" customHeight="1" x14ac:dyDescent="0.25">
      <c r="A146" s="17">
        <f t="shared" si="36"/>
        <v>46236</v>
      </c>
      <c r="B146" s="18">
        <f t="shared" si="37"/>
        <v>7</v>
      </c>
      <c r="C146" s="18" t="str">
        <f t="shared" si="38"/>
        <v>Aug 2026</v>
      </c>
      <c r="D146" s="37">
        <v>46242</v>
      </c>
      <c r="E146" s="17" t="str">
        <f t="shared" si="39"/>
        <v>Saturday</v>
      </c>
      <c r="F146" s="38"/>
      <c r="G146" s="39">
        <f t="shared" si="40"/>
        <v>0</v>
      </c>
      <c r="H146" s="38"/>
      <c r="I146" s="38">
        <f t="shared" si="41"/>
        <v>0</v>
      </c>
      <c r="J146" s="40"/>
      <c r="K146" s="41">
        <f t="shared" si="42"/>
        <v>0</v>
      </c>
      <c r="L146" s="40"/>
      <c r="M146" s="40">
        <f t="shared" si="43"/>
        <v>0</v>
      </c>
      <c r="N146" s="42"/>
      <c r="O146" s="43">
        <f t="shared" si="44"/>
        <v>0</v>
      </c>
      <c r="P146" s="42"/>
      <c r="Q146" s="42">
        <f t="shared" si="45"/>
        <v>0</v>
      </c>
      <c r="R146" s="44">
        <f t="shared" si="46"/>
        <v>0</v>
      </c>
      <c r="S146" s="45">
        <f t="shared" si="47"/>
        <v>0</v>
      </c>
      <c r="T146" s="44">
        <f t="shared" si="48"/>
        <v>0</v>
      </c>
      <c r="U146" s="46">
        <f t="shared" si="49"/>
        <v>0</v>
      </c>
      <c r="V146" s="47"/>
      <c r="W146" s="48">
        <f t="shared" si="50"/>
        <v>0</v>
      </c>
      <c r="X146" s="49"/>
      <c r="Y146" s="50">
        <f t="shared" si="51"/>
        <v>0</v>
      </c>
      <c r="Z146" s="51"/>
      <c r="AA146" s="52">
        <f t="shared" si="52"/>
        <v>0</v>
      </c>
      <c r="AB146" s="36">
        <v>29</v>
      </c>
      <c r="AC146" s="36">
        <v>249.25</v>
      </c>
      <c r="AD146" s="29">
        <f t="shared" si="53"/>
        <v>249.25</v>
      </c>
    </row>
    <row r="147" spans="1:30" ht="15" customHeight="1" x14ac:dyDescent="0.25">
      <c r="A147" s="17">
        <f t="shared" si="36"/>
        <v>46243</v>
      </c>
      <c r="B147" s="18">
        <f t="shared" si="37"/>
        <v>1</v>
      </c>
      <c r="C147" s="18" t="str">
        <f t="shared" si="38"/>
        <v>Aug 2026</v>
      </c>
      <c r="D147" s="37">
        <v>46243</v>
      </c>
      <c r="E147" s="17" t="str">
        <f t="shared" si="39"/>
        <v>Sunday</v>
      </c>
      <c r="F147" s="38"/>
      <c r="G147" s="39">
        <f t="shared" si="40"/>
        <v>0</v>
      </c>
      <c r="H147" s="38"/>
      <c r="I147" s="38">
        <f t="shared" si="41"/>
        <v>0</v>
      </c>
      <c r="J147" s="40"/>
      <c r="K147" s="41">
        <f t="shared" si="42"/>
        <v>0</v>
      </c>
      <c r="L147" s="40"/>
      <c r="M147" s="40">
        <f t="shared" si="43"/>
        <v>0</v>
      </c>
      <c r="N147" s="42"/>
      <c r="O147" s="43">
        <f t="shared" si="44"/>
        <v>0</v>
      </c>
      <c r="P147" s="42"/>
      <c r="Q147" s="42">
        <f t="shared" si="45"/>
        <v>0</v>
      </c>
      <c r="R147" s="44">
        <f t="shared" si="46"/>
        <v>0</v>
      </c>
      <c r="S147" s="45">
        <f t="shared" si="47"/>
        <v>0</v>
      </c>
      <c r="T147" s="44">
        <f t="shared" si="48"/>
        <v>0</v>
      </c>
      <c r="U147" s="46">
        <f t="shared" si="49"/>
        <v>0</v>
      </c>
      <c r="V147" s="47"/>
      <c r="W147" s="48">
        <f t="shared" si="50"/>
        <v>0</v>
      </c>
      <c r="X147" s="49"/>
      <c r="Y147" s="50">
        <f t="shared" si="51"/>
        <v>0</v>
      </c>
      <c r="Z147" s="51"/>
      <c r="AA147" s="52">
        <f t="shared" si="52"/>
        <v>0</v>
      </c>
      <c r="AB147" s="36">
        <v>19</v>
      </c>
      <c r="AC147" s="36">
        <v>142</v>
      </c>
      <c r="AD147" s="29">
        <f t="shared" si="53"/>
        <v>142</v>
      </c>
    </row>
    <row r="148" spans="1:30" ht="15" customHeight="1" x14ac:dyDescent="0.25">
      <c r="A148" s="17">
        <f t="shared" si="36"/>
        <v>46243</v>
      </c>
      <c r="B148" s="18">
        <f t="shared" si="37"/>
        <v>2</v>
      </c>
      <c r="C148" s="18" t="str">
        <f t="shared" si="38"/>
        <v>Aug 2026</v>
      </c>
      <c r="D148" s="37">
        <v>46244</v>
      </c>
      <c r="E148" s="17" t="str">
        <f t="shared" si="39"/>
        <v>Monday</v>
      </c>
      <c r="F148" s="38"/>
      <c r="G148" s="39">
        <f t="shared" si="40"/>
        <v>0</v>
      </c>
      <c r="H148" s="38"/>
      <c r="I148" s="38">
        <f t="shared" si="41"/>
        <v>0</v>
      </c>
      <c r="J148" s="40"/>
      <c r="K148" s="41">
        <f t="shared" si="42"/>
        <v>0</v>
      </c>
      <c r="L148" s="40"/>
      <c r="M148" s="40">
        <f t="shared" si="43"/>
        <v>0</v>
      </c>
      <c r="N148" s="42"/>
      <c r="O148" s="43">
        <f t="shared" si="44"/>
        <v>0</v>
      </c>
      <c r="P148" s="42"/>
      <c r="Q148" s="42">
        <f t="shared" si="45"/>
        <v>0</v>
      </c>
      <c r="R148" s="44">
        <f t="shared" si="46"/>
        <v>0</v>
      </c>
      <c r="S148" s="45">
        <f t="shared" si="47"/>
        <v>0</v>
      </c>
      <c r="T148" s="44">
        <f t="shared" si="48"/>
        <v>0</v>
      </c>
      <c r="U148" s="46">
        <f t="shared" si="49"/>
        <v>0</v>
      </c>
      <c r="V148" s="47"/>
      <c r="W148" s="48">
        <f t="shared" si="50"/>
        <v>0</v>
      </c>
      <c r="X148" s="49"/>
      <c r="Y148" s="50">
        <f t="shared" si="51"/>
        <v>0</v>
      </c>
      <c r="Z148" s="51"/>
      <c r="AA148" s="52">
        <f t="shared" si="52"/>
        <v>0</v>
      </c>
      <c r="AB148" s="36">
        <v>17</v>
      </c>
      <c r="AC148" s="36">
        <v>127</v>
      </c>
      <c r="AD148" s="29">
        <f t="shared" si="53"/>
        <v>127</v>
      </c>
    </row>
    <row r="149" spans="1:30" ht="15" customHeight="1" x14ac:dyDescent="0.25">
      <c r="A149" s="17">
        <f t="shared" si="36"/>
        <v>46243</v>
      </c>
      <c r="B149" s="18">
        <f t="shared" si="37"/>
        <v>3</v>
      </c>
      <c r="C149" s="18" t="str">
        <f t="shared" si="38"/>
        <v>Aug 2026</v>
      </c>
      <c r="D149" s="37">
        <v>46245</v>
      </c>
      <c r="E149" s="17" t="str">
        <f t="shared" si="39"/>
        <v>Tuesday</v>
      </c>
      <c r="F149" s="38"/>
      <c r="G149" s="39">
        <f t="shared" si="40"/>
        <v>0</v>
      </c>
      <c r="H149" s="38"/>
      <c r="I149" s="38">
        <f t="shared" si="41"/>
        <v>0</v>
      </c>
      <c r="J149" s="40"/>
      <c r="K149" s="41">
        <f t="shared" si="42"/>
        <v>0</v>
      </c>
      <c r="L149" s="40"/>
      <c r="M149" s="40">
        <f t="shared" si="43"/>
        <v>0</v>
      </c>
      <c r="N149" s="42"/>
      <c r="O149" s="43">
        <f t="shared" si="44"/>
        <v>0</v>
      </c>
      <c r="P149" s="42"/>
      <c r="Q149" s="42">
        <f t="shared" si="45"/>
        <v>0</v>
      </c>
      <c r="R149" s="44">
        <f t="shared" si="46"/>
        <v>0</v>
      </c>
      <c r="S149" s="45">
        <f t="shared" si="47"/>
        <v>0</v>
      </c>
      <c r="T149" s="44">
        <f t="shared" si="48"/>
        <v>0</v>
      </c>
      <c r="U149" s="46">
        <f t="shared" si="49"/>
        <v>0</v>
      </c>
      <c r="V149" s="47"/>
      <c r="W149" s="48">
        <f t="shared" si="50"/>
        <v>0</v>
      </c>
      <c r="X149" s="49"/>
      <c r="Y149" s="50">
        <f t="shared" si="51"/>
        <v>0</v>
      </c>
      <c r="Z149" s="51"/>
      <c r="AA149" s="52">
        <f t="shared" si="52"/>
        <v>0</v>
      </c>
      <c r="AB149" s="36">
        <v>12</v>
      </c>
      <c r="AC149" s="36">
        <v>95.75</v>
      </c>
      <c r="AD149" s="29">
        <f t="shared" si="53"/>
        <v>95.75</v>
      </c>
    </row>
    <row r="150" spans="1:30" ht="15" customHeight="1" x14ac:dyDescent="0.25">
      <c r="A150" s="17">
        <f t="shared" si="36"/>
        <v>46243</v>
      </c>
      <c r="B150" s="18">
        <f t="shared" si="37"/>
        <v>4</v>
      </c>
      <c r="C150" s="18" t="str">
        <f t="shared" si="38"/>
        <v>Aug 2026</v>
      </c>
      <c r="D150" s="37">
        <v>46246</v>
      </c>
      <c r="E150" s="17" t="str">
        <f t="shared" si="39"/>
        <v>Wednesday</v>
      </c>
      <c r="F150" s="38"/>
      <c r="G150" s="39">
        <f t="shared" si="40"/>
        <v>0</v>
      </c>
      <c r="H150" s="38"/>
      <c r="I150" s="38">
        <f t="shared" si="41"/>
        <v>0</v>
      </c>
      <c r="J150" s="40"/>
      <c r="K150" s="41">
        <f t="shared" si="42"/>
        <v>0</v>
      </c>
      <c r="L150" s="40"/>
      <c r="M150" s="40">
        <f t="shared" si="43"/>
        <v>0</v>
      </c>
      <c r="N150" s="42"/>
      <c r="O150" s="43">
        <f t="shared" si="44"/>
        <v>0</v>
      </c>
      <c r="P150" s="42"/>
      <c r="Q150" s="42">
        <f t="shared" si="45"/>
        <v>0</v>
      </c>
      <c r="R150" s="44">
        <f t="shared" si="46"/>
        <v>0</v>
      </c>
      <c r="S150" s="45">
        <f t="shared" si="47"/>
        <v>0</v>
      </c>
      <c r="T150" s="44">
        <f t="shared" si="48"/>
        <v>0</v>
      </c>
      <c r="U150" s="46">
        <f t="shared" si="49"/>
        <v>0</v>
      </c>
      <c r="V150" s="47"/>
      <c r="W150" s="48">
        <f t="shared" si="50"/>
        <v>0</v>
      </c>
      <c r="X150" s="49"/>
      <c r="Y150" s="50">
        <f t="shared" si="51"/>
        <v>0</v>
      </c>
      <c r="Z150" s="51"/>
      <c r="AA150" s="52">
        <f t="shared" si="52"/>
        <v>0</v>
      </c>
      <c r="AB150" s="36">
        <v>13</v>
      </c>
      <c r="AC150" s="36">
        <v>95.5</v>
      </c>
      <c r="AD150" s="29">
        <f t="shared" si="53"/>
        <v>95.5</v>
      </c>
    </row>
    <row r="151" spans="1:30" ht="15" customHeight="1" x14ac:dyDescent="0.25">
      <c r="A151" s="17">
        <f t="shared" si="36"/>
        <v>46243</v>
      </c>
      <c r="B151" s="18">
        <f t="shared" si="37"/>
        <v>5</v>
      </c>
      <c r="C151" s="18" t="str">
        <f t="shared" si="38"/>
        <v>Aug 2026</v>
      </c>
      <c r="D151" s="37">
        <v>46247</v>
      </c>
      <c r="E151" s="17" t="str">
        <f t="shared" si="39"/>
        <v>Thursday</v>
      </c>
      <c r="F151" s="38"/>
      <c r="G151" s="39">
        <f t="shared" si="40"/>
        <v>0</v>
      </c>
      <c r="H151" s="38"/>
      <c r="I151" s="38">
        <f t="shared" si="41"/>
        <v>0</v>
      </c>
      <c r="J151" s="40"/>
      <c r="K151" s="41">
        <f t="shared" si="42"/>
        <v>0</v>
      </c>
      <c r="L151" s="40"/>
      <c r="M151" s="40">
        <f t="shared" si="43"/>
        <v>0</v>
      </c>
      <c r="N151" s="42"/>
      <c r="O151" s="43">
        <f t="shared" si="44"/>
        <v>0</v>
      </c>
      <c r="P151" s="42"/>
      <c r="Q151" s="42">
        <f t="shared" si="45"/>
        <v>0</v>
      </c>
      <c r="R151" s="44">
        <f t="shared" si="46"/>
        <v>0</v>
      </c>
      <c r="S151" s="45">
        <f t="shared" si="47"/>
        <v>0</v>
      </c>
      <c r="T151" s="44">
        <f t="shared" si="48"/>
        <v>0</v>
      </c>
      <c r="U151" s="46">
        <f t="shared" si="49"/>
        <v>0</v>
      </c>
      <c r="V151" s="47"/>
      <c r="W151" s="48">
        <f t="shared" si="50"/>
        <v>0</v>
      </c>
      <c r="X151" s="49"/>
      <c r="Y151" s="50">
        <f t="shared" si="51"/>
        <v>0</v>
      </c>
      <c r="Z151" s="51"/>
      <c r="AA151" s="52">
        <f t="shared" si="52"/>
        <v>0</v>
      </c>
      <c r="AB151" s="36">
        <v>23</v>
      </c>
      <c r="AC151" s="36">
        <v>192.1</v>
      </c>
      <c r="AD151" s="29">
        <f t="shared" si="53"/>
        <v>192.1</v>
      </c>
    </row>
    <row r="152" spans="1:30" ht="15" customHeight="1" x14ac:dyDescent="0.25">
      <c r="A152" s="17">
        <f t="shared" si="36"/>
        <v>46243</v>
      </c>
      <c r="B152" s="18">
        <f t="shared" si="37"/>
        <v>6</v>
      </c>
      <c r="C152" s="18" t="str">
        <f t="shared" si="38"/>
        <v>Aug 2026</v>
      </c>
      <c r="D152" s="37">
        <v>46248</v>
      </c>
      <c r="E152" s="17" t="str">
        <f t="shared" si="39"/>
        <v>Friday</v>
      </c>
      <c r="F152" s="38"/>
      <c r="G152" s="39">
        <f t="shared" si="40"/>
        <v>0</v>
      </c>
      <c r="H152" s="38"/>
      <c r="I152" s="38">
        <f t="shared" si="41"/>
        <v>0</v>
      </c>
      <c r="J152" s="40"/>
      <c r="K152" s="41">
        <f t="shared" si="42"/>
        <v>0</v>
      </c>
      <c r="L152" s="40"/>
      <c r="M152" s="40">
        <f t="shared" si="43"/>
        <v>0</v>
      </c>
      <c r="N152" s="42"/>
      <c r="O152" s="43">
        <f t="shared" si="44"/>
        <v>0</v>
      </c>
      <c r="P152" s="42"/>
      <c r="Q152" s="42">
        <f t="shared" si="45"/>
        <v>0</v>
      </c>
      <c r="R152" s="44">
        <f t="shared" si="46"/>
        <v>0</v>
      </c>
      <c r="S152" s="45">
        <f t="shared" si="47"/>
        <v>0</v>
      </c>
      <c r="T152" s="44">
        <f t="shared" si="48"/>
        <v>0</v>
      </c>
      <c r="U152" s="46">
        <f t="shared" si="49"/>
        <v>0</v>
      </c>
      <c r="V152" s="47"/>
      <c r="W152" s="48">
        <f t="shared" si="50"/>
        <v>0</v>
      </c>
      <c r="X152" s="49"/>
      <c r="Y152" s="50">
        <f t="shared" si="51"/>
        <v>0</v>
      </c>
      <c r="Z152" s="51"/>
      <c r="AA152" s="52">
        <f t="shared" si="52"/>
        <v>0</v>
      </c>
      <c r="AB152" s="36">
        <v>9</v>
      </c>
      <c r="AC152" s="36">
        <v>69.5</v>
      </c>
      <c r="AD152" s="29">
        <f t="shared" si="53"/>
        <v>69.5</v>
      </c>
    </row>
    <row r="153" spans="1:30" ht="15" customHeight="1" x14ac:dyDescent="0.25">
      <c r="A153" s="17">
        <f t="shared" si="36"/>
        <v>46243</v>
      </c>
      <c r="B153" s="18">
        <f t="shared" si="37"/>
        <v>7</v>
      </c>
      <c r="C153" s="18" t="str">
        <f t="shared" si="38"/>
        <v>Aug 2026</v>
      </c>
      <c r="D153" s="37">
        <v>46249</v>
      </c>
      <c r="E153" s="17" t="str">
        <f t="shared" si="39"/>
        <v>Saturday</v>
      </c>
      <c r="F153" s="38"/>
      <c r="G153" s="39">
        <f t="shared" si="40"/>
        <v>0</v>
      </c>
      <c r="H153" s="38"/>
      <c r="I153" s="38">
        <f t="shared" si="41"/>
        <v>0</v>
      </c>
      <c r="J153" s="40"/>
      <c r="K153" s="41">
        <f t="shared" si="42"/>
        <v>0</v>
      </c>
      <c r="L153" s="40"/>
      <c r="M153" s="40">
        <f t="shared" si="43"/>
        <v>0</v>
      </c>
      <c r="N153" s="42"/>
      <c r="O153" s="43">
        <f t="shared" si="44"/>
        <v>0</v>
      </c>
      <c r="P153" s="42"/>
      <c r="Q153" s="42">
        <f t="shared" si="45"/>
        <v>0</v>
      </c>
      <c r="R153" s="44">
        <f t="shared" si="46"/>
        <v>0</v>
      </c>
      <c r="S153" s="45">
        <f t="shared" si="47"/>
        <v>0</v>
      </c>
      <c r="T153" s="44">
        <f t="shared" si="48"/>
        <v>0</v>
      </c>
      <c r="U153" s="46">
        <f t="shared" si="49"/>
        <v>0</v>
      </c>
      <c r="V153" s="47"/>
      <c r="W153" s="48">
        <f t="shared" si="50"/>
        <v>0</v>
      </c>
      <c r="X153" s="49"/>
      <c r="Y153" s="50">
        <f t="shared" si="51"/>
        <v>0</v>
      </c>
      <c r="Z153" s="51"/>
      <c r="AA153" s="52">
        <f t="shared" si="52"/>
        <v>0</v>
      </c>
      <c r="AB153" s="36">
        <v>31</v>
      </c>
      <c r="AC153" s="36">
        <v>274.75</v>
      </c>
      <c r="AD153" s="29">
        <f t="shared" si="53"/>
        <v>274.75</v>
      </c>
    </row>
    <row r="154" spans="1:30" ht="15" customHeight="1" x14ac:dyDescent="0.25">
      <c r="A154" s="17">
        <f t="shared" si="36"/>
        <v>46250</v>
      </c>
      <c r="B154" s="18">
        <f t="shared" si="37"/>
        <v>1</v>
      </c>
      <c r="C154" s="18" t="str">
        <f t="shared" si="38"/>
        <v>Aug 2026</v>
      </c>
      <c r="D154" s="37">
        <v>46250</v>
      </c>
      <c r="E154" s="17" t="str">
        <f t="shared" si="39"/>
        <v>Sunday</v>
      </c>
      <c r="F154" s="38"/>
      <c r="G154" s="39">
        <f t="shared" si="40"/>
        <v>0</v>
      </c>
      <c r="H154" s="38"/>
      <c r="I154" s="38">
        <f t="shared" si="41"/>
        <v>0</v>
      </c>
      <c r="J154" s="40"/>
      <c r="K154" s="41">
        <f t="shared" si="42"/>
        <v>0</v>
      </c>
      <c r="L154" s="40"/>
      <c r="M154" s="40">
        <f t="shared" si="43"/>
        <v>0</v>
      </c>
      <c r="N154" s="42"/>
      <c r="O154" s="43">
        <f t="shared" si="44"/>
        <v>0</v>
      </c>
      <c r="P154" s="42"/>
      <c r="Q154" s="42">
        <f t="shared" si="45"/>
        <v>0</v>
      </c>
      <c r="R154" s="44">
        <f t="shared" si="46"/>
        <v>0</v>
      </c>
      <c r="S154" s="45">
        <f t="shared" si="47"/>
        <v>0</v>
      </c>
      <c r="T154" s="44">
        <f t="shared" si="48"/>
        <v>0</v>
      </c>
      <c r="U154" s="46">
        <f t="shared" si="49"/>
        <v>0</v>
      </c>
      <c r="V154" s="47"/>
      <c r="W154" s="48">
        <f t="shared" si="50"/>
        <v>0</v>
      </c>
      <c r="X154" s="49"/>
      <c r="Y154" s="50">
        <f t="shared" si="51"/>
        <v>0</v>
      </c>
      <c r="Z154" s="51"/>
      <c r="AA154" s="52">
        <f t="shared" si="52"/>
        <v>0</v>
      </c>
      <c r="AB154" s="36">
        <v>22</v>
      </c>
      <c r="AC154" s="36">
        <v>168.75</v>
      </c>
      <c r="AD154" s="29">
        <f t="shared" si="53"/>
        <v>168.75</v>
      </c>
    </row>
    <row r="155" spans="1:30" ht="15" customHeight="1" x14ac:dyDescent="0.25">
      <c r="A155" s="17">
        <f t="shared" si="36"/>
        <v>46250</v>
      </c>
      <c r="B155" s="18">
        <f t="shared" si="37"/>
        <v>2</v>
      </c>
      <c r="C155" s="18" t="str">
        <f t="shared" si="38"/>
        <v>Aug 2026</v>
      </c>
      <c r="D155" s="37">
        <v>46251</v>
      </c>
      <c r="E155" s="17" t="str">
        <f t="shared" si="39"/>
        <v>Monday</v>
      </c>
      <c r="F155" s="38"/>
      <c r="G155" s="39">
        <f t="shared" si="40"/>
        <v>0</v>
      </c>
      <c r="H155" s="38"/>
      <c r="I155" s="38">
        <f t="shared" si="41"/>
        <v>0</v>
      </c>
      <c r="J155" s="40"/>
      <c r="K155" s="41">
        <f t="shared" si="42"/>
        <v>0</v>
      </c>
      <c r="L155" s="40"/>
      <c r="M155" s="40">
        <f t="shared" si="43"/>
        <v>0</v>
      </c>
      <c r="N155" s="42"/>
      <c r="O155" s="43">
        <f t="shared" si="44"/>
        <v>0</v>
      </c>
      <c r="P155" s="42"/>
      <c r="Q155" s="42">
        <f t="shared" si="45"/>
        <v>0</v>
      </c>
      <c r="R155" s="44">
        <f t="shared" si="46"/>
        <v>0</v>
      </c>
      <c r="S155" s="45">
        <f t="shared" si="47"/>
        <v>0</v>
      </c>
      <c r="T155" s="44">
        <f t="shared" si="48"/>
        <v>0</v>
      </c>
      <c r="U155" s="46">
        <f t="shared" si="49"/>
        <v>0</v>
      </c>
      <c r="V155" s="47"/>
      <c r="W155" s="48">
        <f t="shared" si="50"/>
        <v>0</v>
      </c>
      <c r="X155" s="49"/>
      <c r="Y155" s="50">
        <f t="shared" si="51"/>
        <v>0</v>
      </c>
      <c r="Z155" s="51"/>
      <c r="AA155" s="52">
        <f t="shared" si="52"/>
        <v>0</v>
      </c>
      <c r="AB155" s="36">
        <v>20</v>
      </c>
      <c r="AC155" s="36">
        <v>152.19999999999999</v>
      </c>
      <c r="AD155" s="29">
        <f t="shared" si="53"/>
        <v>152.19999999999999</v>
      </c>
    </row>
    <row r="156" spans="1:30" ht="15" customHeight="1" x14ac:dyDescent="0.25">
      <c r="A156" s="17">
        <f t="shared" si="36"/>
        <v>46250</v>
      </c>
      <c r="B156" s="18">
        <f t="shared" si="37"/>
        <v>3</v>
      </c>
      <c r="C156" s="18" t="str">
        <f t="shared" si="38"/>
        <v>Aug 2026</v>
      </c>
      <c r="D156" s="37">
        <v>46252</v>
      </c>
      <c r="E156" s="17" t="str">
        <f t="shared" si="39"/>
        <v>Tuesday</v>
      </c>
      <c r="F156" s="38"/>
      <c r="G156" s="39">
        <f t="shared" si="40"/>
        <v>0</v>
      </c>
      <c r="H156" s="38"/>
      <c r="I156" s="38">
        <f t="shared" si="41"/>
        <v>0</v>
      </c>
      <c r="J156" s="40"/>
      <c r="K156" s="41">
        <f t="shared" si="42"/>
        <v>0</v>
      </c>
      <c r="L156" s="40"/>
      <c r="M156" s="40">
        <f t="shared" si="43"/>
        <v>0</v>
      </c>
      <c r="N156" s="42"/>
      <c r="O156" s="43">
        <f t="shared" si="44"/>
        <v>0</v>
      </c>
      <c r="P156" s="42"/>
      <c r="Q156" s="42">
        <f t="shared" si="45"/>
        <v>0</v>
      </c>
      <c r="R156" s="44">
        <f t="shared" si="46"/>
        <v>0</v>
      </c>
      <c r="S156" s="45">
        <f t="shared" si="47"/>
        <v>0</v>
      </c>
      <c r="T156" s="44">
        <f t="shared" si="48"/>
        <v>0</v>
      </c>
      <c r="U156" s="46">
        <f t="shared" si="49"/>
        <v>0</v>
      </c>
      <c r="V156" s="47"/>
      <c r="W156" s="48">
        <f t="shared" si="50"/>
        <v>0</v>
      </c>
      <c r="X156" s="49"/>
      <c r="Y156" s="50">
        <f t="shared" si="51"/>
        <v>0</v>
      </c>
      <c r="Z156" s="51"/>
      <c r="AA156" s="52">
        <f t="shared" si="52"/>
        <v>0</v>
      </c>
      <c r="AB156" s="36">
        <v>15</v>
      </c>
      <c r="AC156" s="36">
        <v>117</v>
      </c>
      <c r="AD156" s="29">
        <f t="shared" si="53"/>
        <v>117</v>
      </c>
    </row>
    <row r="157" spans="1:30" ht="15" customHeight="1" x14ac:dyDescent="0.25">
      <c r="A157" s="17">
        <f t="shared" si="36"/>
        <v>46250</v>
      </c>
      <c r="B157" s="18">
        <f t="shared" si="37"/>
        <v>4</v>
      </c>
      <c r="C157" s="18" t="str">
        <f t="shared" si="38"/>
        <v>Aug 2026</v>
      </c>
      <c r="D157" s="37">
        <v>46253</v>
      </c>
      <c r="E157" s="17" t="str">
        <f t="shared" si="39"/>
        <v>Wednesday</v>
      </c>
      <c r="F157" s="38"/>
      <c r="G157" s="39">
        <f t="shared" si="40"/>
        <v>0</v>
      </c>
      <c r="H157" s="38"/>
      <c r="I157" s="38">
        <f t="shared" si="41"/>
        <v>0</v>
      </c>
      <c r="J157" s="40"/>
      <c r="K157" s="41">
        <f t="shared" si="42"/>
        <v>0</v>
      </c>
      <c r="L157" s="40"/>
      <c r="M157" s="40">
        <f t="shared" si="43"/>
        <v>0</v>
      </c>
      <c r="N157" s="42"/>
      <c r="O157" s="43">
        <f t="shared" si="44"/>
        <v>0</v>
      </c>
      <c r="P157" s="42"/>
      <c r="Q157" s="42">
        <f t="shared" si="45"/>
        <v>0</v>
      </c>
      <c r="R157" s="44">
        <f t="shared" si="46"/>
        <v>0</v>
      </c>
      <c r="S157" s="45">
        <f t="shared" si="47"/>
        <v>0</v>
      </c>
      <c r="T157" s="44">
        <f t="shared" si="48"/>
        <v>0</v>
      </c>
      <c r="U157" s="46">
        <f t="shared" si="49"/>
        <v>0</v>
      </c>
      <c r="V157" s="47"/>
      <c r="W157" s="48">
        <f t="shared" si="50"/>
        <v>0</v>
      </c>
      <c r="X157" s="49"/>
      <c r="Y157" s="50">
        <f t="shared" si="51"/>
        <v>0</v>
      </c>
      <c r="Z157" s="51"/>
      <c r="AA157" s="52">
        <f t="shared" si="52"/>
        <v>0</v>
      </c>
      <c r="AB157" s="36">
        <v>10</v>
      </c>
      <c r="AC157" s="36">
        <v>75</v>
      </c>
      <c r="AD157" s="29">
        <f t="shared" si="53"/>
        <v>75</v>
      </c>
    </row>
    <row r="158" spans="1:30" ht="15" customHeight="1" x14ac:dyDescent="0.25">
      <c r="A158" s="17">
        <f t="shared" si="36"/>
        <v>46250</v>
      </c>
      <c r="B158" s="18">
        <f t="shared" si="37"/>
        <v>5</v>
      </c>
      <c r="C158" s="18" t="str">
        <f t="shared" si="38"/>
        <v>Aug 2026</v>
      </c>
      <c r="D158" s="37">
        <v>46254</v>
      </c>
      <c r="E158" s="17" t="str">
        <f t="shared" si="39"/>
        <v>Thursday</v>
      </c>
      <c r="F158" s="38"/>
      <c r="G158" s="39">
        <f t="shared" si="40"/>
        <v>0</v>
      </c>
      <c r="H158" s="38"/>
      <c r="I158" s="38">
        <f t="shared" si="41"/>
        <v>0</v>
      </c>
      <c r="J158" s="40"/>
      <c r="K158" s="41">
        <f t="shared" si="42"/>
        <v>0</v>
      </c>
      <c r="L158" s="40"/>
      <c r="M158" s="40">
        <f t="shared" si="43"/>
        <v>0</v>
      </c>
      <c r="N158" s="42"/>
      <c r="O158" s="43">
        <f t="shared" si="44"/>
        <v>0</v>
      </c>
      <c r="P158" s="42"/>
      <c r="Q158" s="42">
        <f t="shared" si="45"/>
        <v>0</v>
      </c>
      <c r="R158" s="44">
        <f t="shared" si="46"/>
        <v>0</v>
      </c>
      <c r="S158" s="45">
        <f t="shared" si="47"/>
        <v>0</v>
      </c>
      <c r="T158" s="44">
        <f t="shared" si="48"/>
        <v>0</v>
      </c>
      <c r="U158" s="46">
        <f t="shared" si="49"/>
        <v>0</v>
      </c>
      <c r="V158" s="47"/>
      <c r="W158" s="48">
        <f t="shared" si="50"/>
        <v>0</v>
      </c>
      <c r="X158" s="49"/>
      <c r="Y158" s="50">
        <f t="shared" si="51"/>
        <v>0</v>
      </c>
      <c r="Z158" s="51"/>
      <c r="AA158" s="52">
        <f t="shared" si="52"/>
        <v>0</v>
      </c>
      <c r="AB158" s="36">
        <v>18</v>
      </c>
      <c r="AC158" s="36">
        <v>136</v>
      </c>
      <c r="AD158" s="29">
        <f t="shared" si="53"/>
        <v>136</v>
      </c>
    </row>
    <row r="159" spans="1:30" ht="15" customHeight="1" x14ac:dyDescent="0.25">
      <c r="A159" s="17">
        <f t="shared" si="36"/>
        <v>46250</v>
      </c>
      <c r="B159" s="18">
        <f t="shared" si="37"/>
        <v>6</v>
      </c>
      <c r="C159" s="18" t="str">
        <f t="shared" si="38"/>
        <v>Aug 2026</v>
      </c>
      <c r="D159" s="37">
        <v>46255</v>
      </c>
      <c r="E159" s="17" t="str">
        <f t="shared" si="39"/>
        <v>Friday</v>
      </c>
      <c r="F159" s="38"/>
      <c r="G159" s="39">
        <f t="shared" si="40"/>
        <v>0</v>
      </c>
      <c r="H159" s="38"/>
      <c r="I159" s="38">
        <f t="shared" si="41"/>
        <v>0</v>
      </c>
      <c r="J159" s="40"/>
      <c r="K159" s="41">
        <f t="shared" si="42"/>
        <v>0</v>
      </c>
      <c r="L159" s="40"/>
      <c r="M159" s="40">
        <f t="shared" si="43"/>
        <v>0</v>
      </c>
      <c r="N159" s="42"/>
      <c r="O159" s="43">
        <f t="shared" si="44"/>
        <v>0</v>
      </c>
      <c r="P159" s="42"/>
      <c r="Q159" s="42">
        <f t="shared" si="45"/>
        <v>0</v>
      </c>
      <c r="R159" s="44">
        <f t="shared" si="46"/>
        <v>0</v>
      </c>
      <c r="S159" s="45">
        <f t="shared" si="47"/>
        <v>0</v>
      </c>
      <c r="T159" s="44">
        <f t="shared" si="48"/>
        <v>0</v>
      </c>
      <c r="U159" s="46">
        <f t="shared" si="49"/>
        <v>0</v>
      </c>
      <c r="V159" s="47"/>
      <c r="W159" s="48">
        <f t="shared" si="50"/>
        <v>0</v>
      </c>
      <c r="X159" s="49"/>
      <c r="Y159" s="50">
        <f t="shared" si="51"/>
        <v>0</v>
      </c>
      <c r="Z159" s="51"/>
      <c r="AA159" s="52">
        <f t="shared" si="52"/>
        <v>0</v>
      </c>
      <c r="AB159" s="36">
        <v>5</v>
      </c>
      <c r="AC159" s="36">
        <v>34</v>
      </c>
      <c r="AD159" s="29">
        <f t="shared" si="53"/>
        <v>34</v>
      </c>
    </row>
    <row r="160" spans="1:30" ht="15" customHeight="1" x14ac:dyDescent="0.25">
      <c r="A160" s="17">
        <f t="shared" si="36"/>
        <v>46250</v>
      </c>
      <c r="B160" s="18">
        <f t="shared" si="37"/>
        <v>7</v>
      </c>
      <c r="C160" s="18" t="str">
        <f t="shared" si="38"/>
        <v>Aug 2026</v>
      </c>
      <c r="D160" s="37">
        <v>46256</v>
      </c>
      <c r="E160" s="17" t="str">
        <f t="shared" si="39"/>
        <v>Saturday</v>
      </c>
      <c r="F160" s="38"/>
      <c r="G160" s="39">
        <f t="shared" si="40"/>
        <v>0</v>
      </c>
      <c r="H160" s="38"/>
      <c r="I160" s="38">
        <f t="shared" si="41"/>
        <v>0</v>
      </c>
      <c r="J160" s="40"/>
      <c r="K160" s="41">
        <f t="shared" si="42"/>
        <v>0</v>
      </c>
      <c r="L160" s="40"/>
      <c r="M160" s="40">
        <f t="shared" si="43"/>
        <v>0</v>
      </c>
      <c r="N160" s="42"/>
      <c r="O160" s="43">
        <f t="shared" si="44"/>
        <v>0</v>
      </c>
      <c r="P160" s="42"/>
      <c r="Q160" s="42">
        <f t="shared" si="45"/>
        <v>0</v>
      </c>
      <c r="R160" s="44">
        <f t="shared" si="46"/>
        <v>0</v>
      </c>
      <c r="S160" s="45">
        <f t="shared" si="47"/>
        <v>0</v>
      </c>
      <c r="T160" s="44">
        <f t="shared" si="48"/>
        <v>0</v>
      </c>
      <c r="U160" s="46">
        <f t="shared" si="49"/>
        <v>0</v>
      </c>
      <c r="V160" s="47"/>
      <c r="W160" s="48">
        <f t="shared" si="50"/>
        <v>0</v>
      </c>
      <c r="X160" s="49"/>
      <c r="Y160" s="50">
        <f t="shared" si="51"/>
        <v>0</v>
      </c>
      <c r="Z160" s="51"/>
      <c r="AA160" s="52">
        <f t="shared" si="52"/>
        <v>0</v>
      </c>
      <c r="AB160" s="36">
        <v>26</v>
      </c>
      <c r="AC160" s="36">
        <v>203.5</v>
      </c>
      <c r="AD160" s="29">
        <f t="shared" si="53"/>
        <v>203.5</v>
      </c>
    </row>
    <row r="161" spans="1:30" ht="15" customHeight="1" x14ac:dyDescent="0.25">
      <c r="A161" s="17">
        <f t="shared" si="36"/>
        <v>46257</v>
      </c>
      <c r="B161" s="18">
        <f t="shared" si="37"/>
        <v>1</v>
      </c>
      <c r="C161" s="18" t="str">
        <f t="shared" si="38"/>
        <v>Aug 2026</v>
      </c>
      <c r="D161" s="37">
        <v>46257</v>
      </c>
      <c r="E161" s="17" t="str">
        <f t="shared" si="39"/>
        <v>Sunday</v>
      </c>
      <c r="F161" s="38"/>
      <c r="G161" s="39">
        <f t="shared" si="40"/>
        <v>0</v>
      </c>
      <c r="H161" s="38"/>
      <c r="I161" s="38">
        <f t="shared" si="41"/>
        <v>0</v>
      </c>
      <c r="J161" s="40"/>
      <c r="K161" s="41">
        <f t="shared" si="42"/>
        <v>0</v>
      </c>
      <c r="L161" s="40"/>
      <c r="M161" s="40">
        <f t="shared" si="43"/>
        <v>0</v>
      </c>
      <c r="N161" s="42"/>
      <c r="O161" s="43">
        <f t="shared" si="44"/>
        <v>0</v>
      </c>
      <c r="P161" s="42"/>
      <c r="Q161" s="42">
        <f t="shared" si="45"/>
        <v>0</v>
      </c>
      <c r="R161" s="44">
        <f t="shared" si="46"/>
        <v>0</v>
      </c>
      <c r="S161" s="45">
        <f t="shared" si="47"/>
        <v>0</v>
      </c>
      <c r="T161" s="44">
        <f t="shared" si="48"/>
        <v>0</v>
      </c>
      <c r="U161" s="46">
        <f t="shared" si="49"/>
        <v>0</v>
      </c>
      <c r="V161" s="47"/>
      <c r="W161" s="48">
        <f t="shared" si="50"/>
        <v>0</v>
      </c>
      <c r="X161" s="49"/>
      <c r="Y161" s="50">
        <f t="shared" si="51"/>
        <v>0</v>
      </c>
      <c r="Z161" s="51"/>
      <c r="AA161" s="52">
        <f t="shared" si="52"/>
        <v>0</v>
      </c>
      <c r="AB161" s="36">
        <v>15</v>
      </c>
      <c r="AC161" s="36">
        <v>114.25</v>
      </c>
      <c r="AD161" s="29">
        <f t="shared" si="53"/>
        <v>114.25</v>
      </c>
    </row>
    <row r="162" spans="1:30" ht="15" customHeight="1" x14ac:dyDescent="0.25">
      <c r="A162" s="17">
        <f t="shared" si="36"/>
        <v>46257</v>
      </c>
      <c r="B162" s="18">
        <f t="shared" si="37"/>
        <v>2</v>
      </c>
      <c r="C162" s="18" t="str">
        <f t="shared" si="38"/>
        <v>Aug 2026</v>
      </c>
      <c r="D162" s="37">
        <v>46258</v>
      </c>
      <c r="E162" s="17" t="str">
        <f t="shared" si="39"/>
        <v>Monday</v>
      </c>
      <c r="F162" s="38"/>
      <c r="G162" s="39">
        <f t="shared" si="40"/>
        <v>0</v>
      </c>
      <c r="H162" s="38"/>
      <c r="I162" s="38">
        <f t="shared" si="41"/>
        <v>0</v>
      </c>
      <c r="J162" s="40"/>
      <c r="K162" s="41">
        <f t="shared" si="42"/>
        <v>0</v>
      </c>
      <c r="L162" s="40"/>
      <c r="M162" s="40">
        <f t="shared" si="43"/>
        <v>0</v>
      </c>
      <c r="N162" s="42"/>
      <c r="O162" s="43">
        <f t="shared" si="44"/>
        <v>0</v>
      </c>
      <c r="P162" s="42"/>
      <c r="Q162" s="42">
        <f t="shared" si="45"/>
        <v>0</v>
      </c>
      <c r="R162" s="44">
        <f t="shared" si="46"/>
        <v>0</v>
      </c>
      <c r="S162" s="45">
        <f t="shared" si="47"/>
        <v>0</v>
      </c>
      <c r="T162" s="44">
        <f t="shared" si="48"/>
        <v>0</v>
      </c>
      <c r="U162" s="46">
        <f t="shared" si="49"/>
        <v>0</v>
      </c>
      <c r="V162" s="47"/>
      <c r="W162" s="48">
        <f t="shared" si="50"/>
        <v>0</v>
      </c>
      <c r="X162" s="49"/>
      <c r="Y162" s="50">
        <f t="shared" si="51"/>
        <v>0</v>
      </c>
      <c r="Z162" s="51"/>
      <c r="AA162" s="52">
        <f t="shared" si="52"/>
        <v>0</v>
      </c>
      <c r="AB162" s="36">
        <v>14</v>
      </c>
      <c r="AC162" s="36">
        <v>104</v>
      </c>
      <c r="AD162" s="29">
        <f t="shared" si="53"/>
        <v>104</v>
      </c>
    </row>
    <row r="163" spans="1:30" ht="15" customHeight="1" x14ac:dyDescent="0.25">
      <c r="A163" s="17">
        <f t="shared" si="36"/>
        <v>46257</v>
      </c>
      <c r="B163" s="18">
        <f t="shared" si="37"/>
        <v>3</v>
      </c>
      <c r="C163" s="18" t="str">
        <f t="shared" si="38"/>
        <v>Aug 2026</v>
      </c>
      <c r="D163" s="37">
        <v>46259</v>
      </c>
      <c r="E163" s="17" t="str">
        <f t="shared" si="39"/>
        <v>Tuesday</v>
      </c>
      <c r="F163" s="38"/>
      <c r="G163" s="39">
        <f t="shared" si="40"/>
        <v>0</v>
      </c>
      <c r="H163" s="38"/>
      <c r="I163" s="38">
        <f t="shared" si="41"/>
        <v>0</v>
      </c>
      <c r="J163" s="40"/>
      <c r="K163" s="41">
        <f t="shared" si="42"/>
        <v>0</v>
      </c>
      <c r="L163" s="40"/>
      <c r="M163" s="40">
        <f t="shared" si="43"/>
        <v>0</v>
      </c>
      <c r="N163" s="42"/>
      <c r="O163" s="43">
        <f t="shared" si="44"/>
        <v>0</v>
      </c>
      <c r="P163" s="42"/>
      <c r="Q163" s="42">
        <f t="shared" si="45"/>
        <v>0</v>
      </c>
      <c r="R163" s="44">
        <f t="shared" si="46"/>
        <v>0</v>
      </c>
      <c r="S163" s="45">
        <f t="shared" si="47"/>
        <v>0</v>
      </c>
      <c r="T163" s="44">
        <f t="shared" si="48"/>
        <v>0</v>
      </c>
      <c r="U163" s="46">
        <f t="shared" si="49"/>
        <v>0</v>
      </c>
      <c r="V163" s="47"/>
      <c r="W163" s="48">
        <f t="shared" si="50"/>
        <v>0</v>
      </c>
      <c r="X163" s="49"/>
      <c r="Y163" s="50">
        <f t="shared" si="51"/>
        <v>0</v>
      </c>
      <c r="Z163" s="51"/>
      <c r="AA163" s="52">
        <f t="shared" si="52"/>
        <v>0</v>
      </c>
      <c r="AB163" s="36">
        <v>13</v>
      </c>
      <c r="AC163" s="36">
        <v>94</v>
      </c>
      <c r="AD163" s="29">
        <f t="shared" si="53"/>
        <v>94</v>
      </c>
    </row>
    <row r="164" spans="1:30" ht="15" customHeight="1" x14ac:dyDescent="0.25">
      <c r="A164" s="17">
        <f t="shared" si="36"/>
        <v>46257</v>
      </c>
      <c r="B164" s="18">
        <f t="shared" si="37"/>
        <v>4</v>
      </c>
      <c r="C164" s="18" t="str">
        <f t="shared" si="38"/>
        <v>Aug 2026</v>
      </c>
      <c r="D164" s="37">
        <v>46260</v>
      </c>
      <c r="E164" s="17" t="str">
        <f t="shared" si="39"/>
        <v>Wednesday</v>
      </c>
      <c r="F164" s="38"/>
      <c r="G164" s="39">
        <f t="shared" si="40"/>
        <v>0</v>
      </c>
      <c r="H164" s="38"/>
      <c r="I164" s="38">
        <f t="shared" si="41"/>
        <v>0</v>
      </c>
      <c r="J164" s="40"/>
      <c r="K164" s="41">
        <f t="shared" si="42"/>
        <v>0</v>
      </c>
      <c r="L164" s="40"/>
      <c r="M164" s="40">
        <f t="shared" si="43"/>
        <v>0</v>
      </c>
      <c r="N164" s="42"/>
      <c r="O164" s="43">
        <f t="shared" si="44"/>
        <v>0</v>
      </c>
      <c r="P164" s="42"/>
      <c r="Q164" s="42">
        <f t="shared" si="45"/>
        <v>0</v>
      </c>
      <c r="R164" s="44">
        <f t="shared" si="46"/>
        <v>0</v>
      </c>
      <c r="S164" s="45">
        <f t="shared" si="47"/>
        <v>0</v>
      </c>
      <c r="T164" s="44">
        <f t="shared" si="48"/>
        <v>0</v>
      </c>
      <c r="U164" s="46">
        <f t="shared" si="49"/>
        <v>0</v>
      </c>
      <c r="V164" s="47"/>
      <c r="W164" s="48">
        <f t="shared" si="50"/>
        <v>0</v>
      </c>
      <c r="X164" s="49"/>
      <c r="Y164" s="50">
        <f t="shared" si="51"/>
        <v>0</v>
      </c>
      <c r="Z164" s="51"/>
      <c r="AA164" s="52">
        <f t="shared" si="52"/>
        <v>0</v>
      </c>
      <c r="AB164" s="36">
        <v>6</v>
      </c>
      <c r="AC164" s="36">
        <v>45</v>
      </c>
      <c r="AD164" s="29">
        <f t="shared" si="53"/>
        <v>45</v>
      </c>
    </row>
    <row r="165" spans="1:30" ht="15" customHeight="1" x14ac:dyDescent="0.25">
      <c r="A165" s="17">
        <f t="shared" si="36"/>
        <v>46257</v>
      </c>
      <c r="B165" s="18">
        <f t="shared" si="37"/>
        <v>5</v>
      </c>
      <c r="C165" s="18" t="str">
        <f t="shared" si="38"/>
        <v>Aug 2026</v>
      </c>
      <c r="D165" s="37">
        <v>46261</v>
      </c>
      <c r="E165" s="17" t="str">
        <f t="shared" si="39"/>
        <v>Thursday</v>
      </c>
      <c r="F165" s="38"/>
      <c r="G165" s="39">
        <f t="shared" si="40"/>
        <v>0</v>
      </c>
      <c r="H165" s="38"/>
      <c r="I165" s="38">
        <f t="shared" si="41"/>
        <v>0</v>
      </c>
      <c r="J165" s="40"/>
      <c r="K165" s="41">
        <f t="shared" si="42"/>
        <v>0</v>
      </c>
      <c r="L165" s="40"/>
      <c r="M165" s="40">
        <f t="shared" si="43"/>
        <v>0</v>
      </c>
      <c r="N165" s="42"/>
      <c r="O165" s="43">
        <f t="shared" si="44"/>
        <v>0</v>
      </c>
      <c r="P165" s="42"/>
      <c r="Q165" s="42">
        <f t="shared" si="45"/>
        <v>0</v>
      </c>
      <c r="R165" s="44">
        <f t="shared" si="46"/>
        <v>0</v>
      </c>
      <c r="S165" s="45">
        <f t="shared" si="47"/>
        <v>0</v>
      </c>
      <c r="T165" s="44">
        <f t="shared" si="48"/>
        <v>0</v>
      </c>
      <c r="U165" s="46">
        <f t="shared" si="49"/>
        <v>0</v>
      </c>
      <c r="V165" s="47"/>
      <c r="W165" s="48">
        <f t="shared" si="50"/>
        <v>0</v>
      </c>
      <c r="X165" s="49"/>
      <c r="Y165" s="50">
        <f t="shared" si="51"/>
        <v>0</v>
      </c>
      <c r="Z165" s="51"/>
      <c r="AA165" s="52">
        <f t="shared" si="52"/>
        <v>0</v>
      </c>
      <c r="AB165" s="36">
        <v>16</v>
      </c>
      <c r="AC165" s="36">
        <v>136.75</v>
      </c>
      <c r="AD165" s="29">
        <f t="shared" si="53"/>
        <v>136.75</v>
      </c>
    </row>
    <row r="166" spans="1:30" ht="15" customHeight="1" x14ac:dyDescent="0.25">
      <c r="A166" s="17">
        <f t="shared" si="36"/>
        <v>46257</v>
      </c>
      <c r="B166" s="18">
        <f t="shared" si="37"/>
        <v>6</v>
      </c>
      <c r="C166" s="18" t="str">
        <f t="shared" si="38"/>
        <v>Aug 2026</v>
      </c>
      <c r="D166" s="37">
        <v>46262</v>
      </c>
      <c r="E166" s="17" t="str">
        <f t="shared" si="39"/>
        <v>Friday</v>
      </c>
      <c r="F166" s="38"/>
      <c r="G166" s="39">
        <f t="shared" si="40"/>
        <v>0</v>
      </c>
      <c r="H166" s="38"/>
      <c r="I166" s="38">
        <f t="shared" si="41"/>
        <v>0</v>
      </c>
      <c r="J166" s="40"/>
      <c r="K166" s="41">
        <f t="shared" si="42"/>
        <v>0</v>
      </c>
      <c r="L166" s="40"/>
      <c r="M166" s="40">
        <f t="shared" si="43"/>
        <v>0</v>
      </c>
      <c r="N166" s="42"/>
      <c r="O166" s="43">
        <f t="shared" si="44"/>
        <v>0</v>
      </c>
      <c r="P166" s="42"/>
      <c r="Q166" s="42">
        <f t="shared" si="45"/>
        <v>0</v>
      </c>
      <c r="R166" s="44">
        <f t="shared" si="46"/>
        <v>0</v>
      </c>
      <c r="S166" s="45">
        <f t="shared" si="47"/>
        <v>0</v>
      </c>
      <c r="T166" s="44">
        <f t="shared" si="48"/>
        <v>0</v>
      </c>
      <c r="U166" s="46">
        <f t="shared" si="49"/>
        <v>0</v>
      </c>
      <c r="V166" s="47"/>
      <c r="W166" s="48">
        <f t="shared" si="50"/>
        <v>0</v>
      </c>
      <c r="X166" s="49"/>
      <c r="Y166" s="50">
        <f t="shared" si="51"/>
        <v>0</v>
      </c>
      <c r="Z166" s="51"/>
      <c r="AA166" s="52">
        <f t="shared" si="52"/>
        <v>0</v>
      </c>
      <c r="AB166" s="36">
        <v>5</v>
      </c>
      <c r="AC166" s="36">
        <v>37.5</v>
      </c>
      <c r="AD166" s="29">
        <f t="shared" si="53"/>
        <v>37.5</v>
      </c>
    </row>
    <row r="167" spans="1:30" ht="15" customHeight="1" x14ac:dyDescent="0.25">
      <c r="A167" s="17">
        <f t="shared" si="36"/>
        <v>46257</v>
      </c>
      <c r="B167" s="18">
        <f t="shared" si="37"/>
        <v>7</v>
      </c>
      <c r="C167" s="18" t="str">
        <f t="shared" si="38"/>
        <v>Aug 2026</v>
      </c>
      <c r="D167" s="37">
        <v>46263</v>
      </c>
      <c r="E167" s="17" t="str">
        <f t="shared" si="39"/>
        <v>Saturday</v>
      </c>
      <c r="F167" s="38"/>
      <c r="G167" s="39">
        <f t="shared" si="40"/>
        <v>0</v>
      </c>
      <c r="H167" s="38"/>
      <c r="I167" s="38">
        <f t="shared" si="41"/>
        <v>0</v>
      </c>
      <c r="J167" s="40"/>
      <c r="K167" s="41">
        <f t="shared" si="42"/>
        <v>0</v>
      </c>
      <c r="L167" s="40"/>
      <c r="M167" s="40">
        <f t="shared" si="43"/>
        <v>0</v>
      </c>
      <c r="N167" s="42"/>
      <c r="O167" s="43">
        <f t="shared" si="44"/>
        <v>0</v>
      </c>
      <c r="P167" s="42"/>
      <c r="Q167" s="42">
        <f t="shared" si="45"/>
        <v>0</v>
      </c>
      <c r="R167" s="44">
        <f t="shared" si="46"/>
        <v>0</v>
      </c>
      <c r="S167" s="45">
        <f t="shared" si="47"/>
        <v>0</v>
      </c>
      <c r="T167" s="44">
        <f t="shared" si="48"/>
        <v>0</v>
      </c>
      <c r="U167" s="46">
        <f t="shared" si="49"/>
        <v>0</v>
      </c>
      <c r="V167" s="47"/>
      <c r="W167" s="48">
        <f t="shared" si="50"/>
        <v>0</v>
      </c>
      <c r="X167" s="49"/>
      <c r="Y167" s="50">
        <f t="shared" si="51"/>
        <v>0</v>
      </c>
      <c r="Z167" s="51"/>
      <c r="AA167" s="52">
        <f t="shared" si="52"/>
        <v>0</v>
      </c>
      <c r="AB167" s="36">
        <v>19</v>
      </c>
      <c r="AC167" s="36">
        <v>164.7</v>
      </c>
      <c r="AD167" s="29">
        <f t="shared" si="53"/>
        <v>164.7</v>
      </c>
    </row>
    <row r="168" spans="1:30" ht="15" customHeight="1" x14ac:dyDescent="0.25">
      <c r="A168" s="17">
        <f t="shared" si="36"/>
        <v>46264</v>
      </c>
      <c r="B168" s="18">
        <f t="shared" si="37"/>
        <v>1</v>
      </c>
      <c r="C168" s="18" t="str">
        <f t="shared" si="38"/>
        <v>Aug 2026</v>
      </c>
      <c r="D168" s="37">
        <v>46264</v>
      </c>
      <c r="E168" s="17" t="str">
        <f t="shared" si="39"/>
        <v>Sunday</v>
      </c>
      <c r="F168" s="38"/>
      <c r="G168" s="39">
        <f t="shared" si="40"/>
        <v>0</v>
      </c>
      <c r="H168" s="38"/>
      <c r="I168" s="38">
        <f t="shared" si="41"/>
        <v>0</v>
      </c>
      <c r="J168" s="40"/>
      <c r="K168" s="41">
        <f t="shared" si="42"/>
        <v>0</v>
      </c>
      <c r="L168" s="40"/>
      <c r="M168" s="40">
        <f t="shared" si="43"/>
        <v>0</v>
      </c>
      <c r="N168" s="42"/>
      <c r="O168" s="43">
        <f t="shared" si="44"/>
        <v>0</v>
      </c>
      <c r="P168" s="42"/>
      <c r="Q168" s="42">
        <f t="shared" si="45"/>
        <v>0</v>
      </c>
      <c r="R168" s="44">
        <f t="shared" si="46"/>
        <v>0</v>
      </c>
      <c r="S168" s="45">
        <f t="shared" si="47"/>
        <v>0</v>
      </c>
      <c r="T168" s="44">
        <f t="shared" si="48"/>
        <v>0</v>
      </c>
      <c r="U168" s="46">
        <f t="shared" si="49"/>
        <v>0</v>
      </c>
      <c r="V168" s="47"/>
      <c r="W168" s="48">
        <f t="shared" si="50"/>
        <v>0</v>
      </c>
      <c r="X168" s="49"/>
      <c r="Y168" s="50">
        <f t="shared" si="51"/>
        <v>0</v>
      </c>
      <c r="Z168" s="51"/>
      <c r="AA168" s="52">
        <f t="shared" si="52"/>
        <v>0</v>
      </c>
      <c r="AB168" s="36">
        <v>16</v>
      </c>
      <c r="AC168" s="36">
        <v>130.75</v>
      </c>
      <c r="AD168" s="29">
        <f t="shared" si="53"/>
        <v>130.75</v>
      </c>
    </row>
    <row r="169" spans="1:30" ht="15" customHeight="1" x14ac:dyDescent="0.25">
      <c r="A169" s="17">
        <f t="shared" si="36"/>
        <v>46264</v>
      </c>
      <c r="B169" s="18">
        <f t="shared" si="37"/>
        <v>2</v>
      </c>
      <c r="C169" s="18" t="str">
        <f t="shared" si="38"/>
        <v>Aug 2026</v>
      </c>
      <c r="D169" s="37">
        <v>46265</v>
      </c>
      <c r="E169" s="17" t="str">
        <f t="shared" si="39"/>
        <v>Monday</v>
      </c>
      <c r="F169" s="38"/>
      <c r="G169" s="39">
        <f t="shared" si="40"/>
        <v>0</v>
      </c>
      <c r="H169" s="38"/>
      <c r="I169" s="38">
        <f t="shared" si="41"/>
        <v>0</v>
      </c>
      <c r="J169" s="40"/>
      <c r="K169" s="41">
        <f t="shared" si="42"/>
        <v>0</v>
      </c>
      <c r="L169" s="40"/>
      <c r="M169" s="40">
        <f t="shared" si="43"/>
        <v>0</v>
      </c>
      <c r="N169" s="42"/>
      <c r="O169" s="43">
        <f t="shared" si="44"/>
        <v>0</v>
      </c>
      <c r="P169" s="42"/>
      <c r="Q169" s="42">
        <f t="shared" si="45"/>
        <v>0</v>
      </c>
      <c r="R169" s="44">
        <f t="shared" si="46"/>
        <v>0</v>
      </c>
      <c r="S169" s="45">
        <f t="shared" si="47"/>
        <v>0</v>
      </c>
      <c r="T169" s="44">
        <f t="shared" si="48"/>
        <v>0</v>
      </c>
      <c r="U169" s="46">
        <f t="shared" si="49"/>
        <v>0</v>
      </c>
      <c r="V169" s="47"/>
      <c r="W169" s="48">
        <f t="shared" si="50"/>
        <v>0</v>
      </c>
      <c r="X169" s="49"/>
      <c r="Y169" s="50">
        <f t="shared" si="51"/>
        <v>0</v>
      </c>
      <c r="Z169" s="51"/>
      <c r="AA169" s="52">
        <f t="shared" si="52"/>
        <v>0</v>
      </c>
      <c r="AB169" s="36">
        <v>16</v>
      </c>
      <c r="AC169" s="36">
        <v>130</v>
      </c>
      <c r="AD169" s="29">
        <f t="shared" si="53"/>
        <v>130</v>
      </c>
    </row>
    <row r="170" spans="1:30" ht="15" customHeight="1" x14ac:dyDescent="0.25">
      <c r="A170" s="17">
        <f t="shared" si="36"/>
        <v>46264</v>
      </c>
      <c r="B170" s="18">
        <f t="shared" si="37"/>
        <v>3</v>
      </c>
      <c r="C170" s="18" t="str">
        <f t="shared" si="38"/>
        <v>Sep 2026</v>
      </c>
      <c r="D170" s="37">
        <v>46266</v>
      </c>
      <c r="E170" s="17" t="str">
        <f t="shared" si="39"/>
        <v>Tuesday</v>
      </c>
      <c r="F170" s="38"/>
      <c r="G170" s="39">
        <f t="shared" si="40"/>
        <v>0</v>
      </c>
      <c r="H170" s="38"/>
      <c r="I170" s="38">
        <f t="shared" si="41"/>
        <v>0</v>
      </c>
      <c r="J170" s="40"/>
      <c r="K170" s="41">
        <f t="shared" si="42"/>
        <v>0</v>
      </c>
      <c r="L170" s="40"/>
      <c r="M170" s="40">
        <f t="shared" si="43"/>
        <v>0</v>
      </c>
      <c r="N170" s="42"/>
      <c r="O170" s="43">
        <f t="shared" si="44"/>
        <v>0</v>
      </c>
      <c r="P170" s="42"/>
      <c r="Q170" s="42">
        <f t="shared" si="45"/>
        <v>0</v>
      </c>
      <c r="R170" s="44">
        <f t="shared" si="46"/>
        <v>0</v>
      </c>
      <c r="S170" s="45">
        <f t="shared" si="47"/>
        <v>0</v>
      </c>
      <c r="T170" s="44">
        <f t="shared" si="48"/>
        <v>0</v>
      </c>
      <c r="U170" s="46">
        <f t="shared" si="49"/>
        <v>0</v>
      </c>
      <c r="V170" s="47"/>
      <c r="W170" s="48">
        <f t="shared" si="50"/>
        <v>0</v>
      </c>
      <c r="X170" s="49"/>
      <c r="Y170" s="50">
        <f t="shared" si="51"/>
        <v>0</v>
      </c>
      <c r="Z170" s="51"/>
      <c r="AA170" s="52">
        <f t="shared" si="52"/>
        <v>0</v>
      </c>
      <c r="AB170" s="36">
        <v>10</v>
      </c>
      <c r="AC170" s="36">
        <v>80.25</v>
      </c>
      <c r="AD170" s="29">
        <f t="shared" si="53"/>
        <v>80.25</v>
      </c>
    </row>
    <row r="171" spans="1:30" ht="15" customHeight="1" x14ac:dyDescent="0.25">
      <c r="A171" s="17">
        <f t="shared" si="36"/>
        <v>46264</v>
      </c>
      <c r="B171" s="18">
        <f t="shared" si="37"/>
        <v>4</v>
      </c>
      <c r="C171" s="18" t="str">
        <f t="shared" si="38"/>
        <v>Sep 2026</v>
      </c>
      <c r="D171" s="37">
        <v>46267</v>
      </c>
      <c r="E171" s="17" t="str">
        <f t="shared" si="39"/>
        <v>Wednesday</v>
      </c>
      <c r="F171" s="38"/>
      <c r="G171" s="39">
        <f t="shared" si="40"/>
        <v>0</v>
      </c>
      <c r="H171" s="38"/>
      <c r="I171" s="38">
        <f t="shared" si="41"/>
        <v>0</v>
      </c>
      <c r="J171" s="40"/>
      <c r="K171" s="41">
        <f t="shared" si="42"/>
        <v>0</v>
      </c>
      <c r="L171" s="40"/>
      <c r="M171" s="40">
        <f t="shared" si="43"/>
        <v>0</v>
      </c>
      <c r="N171" s="42"/>
      <c r="O171" s="43">
        <f t="shared" si="44"/>
        <v>0</v>
      </c>
      <c r="P171" s="42"/>
      <c r="Q171" s="42">
        <f t="shared" si="45"/>
        <v>0</v>
      </c>
      <c r="R171" s="44">
        <f t="shared" si="46"/>
        <v>0</v>
      </c>
      <c r="S171" s="45">
        <f t="shared" si="47"/>
        <v>0</v>
      </c>
      <c r="T171" s="44">
        <f t="shared" si="48"/>
        <v>0</v>
      </c>
      <c r="U171" s="46">
        <f t="shared" si="49"/>
        <v>0</v>
      </c>
      <c r="V171" s="47"/>
      <c r="W171" s="48">
        <f t="shared" si="50"/>
        <v>0</v>
      </c>
      <c r="X171" s="49"/>
      <c r="Y171" s="50">
        <f t="shared" si="51"/>
        <v>0</v>
      </c>
      <c r="Z171" s="51"/>
      <c r="AA171" s="52">
        <f t="shared" si="52"/>
        <v>0</v>
      </c>
      <c r="AB171" s="36">
        <v>9</v>
      </c>
      <c r="AC171" s="36">
        <v>75.75</v>
      </c>
      <c r="AD171" s="29">
        <f t="shared" si="53"/>
        <v>75.75</v>
      </c>
    </row>
    <row r="172" spans="1:30" ht="15" customHeight="1" x14ac:dyDescent="0.25">
      <c r="A172" s="17">
        <f t="shared" si="36"/>
        <v>46264</v>
      </c>
      <c r="B172" s="18">
        <f t="shared" si="37"/>
        <v>5</v>
      </c>
      <c r="C172" s="18" t="str">
        <f t="shared" si="38"/>
        <v>Sep 2026</v>
      </c>
      <c r="D172" s="37">
        <v>46268</v>
      </c>
      <c r="E172" s="17" t="str">
        <f t="shared" si="39"/>
        <v>Thursday</v>
      </c>
      <c r="F172" s="38"/>
      <c r="G172" s="39">
        <f t="shared" si="40"/>
        <v>0</v>
      </c>
      <c r="H172" s="38"/>
      <c r="I172" s="38">
        <f t="shared" si="41"/>
        <v>0</v>
      </c>
      <c r="J172" s="40"/>
      <c r="K172" s="41">
        <f t="shared" si="42"/>
        <v>0</v>
      </c>
      <c r="L172" s="40"/>
      <c r="M172" s="40">
        <f t="shared" si="43"/>
        <v>0</v>
      </c>
      <c r="N172" s="42"/>
      <c r="O172" s="43">
        <f t="shared" si="44"/>
        <v>0</v>
      </c>
      <c r="P172" s="42"/>
      <c r="Q172" s="42">
        <f t="shared" si="45"/>
        <v>0</v>
      </c>
      <c r="R172" s="44">
        <f t="shared" si="46"/>
        <v>0</v>
      </c>
      <c r="S172" s="45">
        <f t="shared" si="47"/>
        <v>0</v>
      </c>
      <c r="T172" s="44">
        <f t="shared" si="48"/>
        <v>0</v>
      </c>
      <c r="U172" s="46">
        <f t="shared" si="49"/>
        <v>0</v>
      </c>
      <c r="V172" s="47"/>
      <c r="W172" s="48">
        <f t="shared" si="50"/>
        <v>0</v>
      </c>
      <c r="X172" s="49"/>
      <c r="Y172" s="50">
        <f t="shared" si="51"/>
        <v>0</v>
      </c>
      <c r="Z172" s="51"/>
      <c r="AA172" s="52">
        <f t="shared" si="52"/>
        <v>0</v>
      </c>
      <c r="AB172" s="36">
        <v>13</v>
      </c>
      <c r="AC172" s="36">
        <v>116</v>
      </c>
      <c r="AD172" s="29">
        <f t="shared" si="53"/>
        <v>116</v>
      </c>
    </row>
    <row r="173" spans="1:30" ht="15" customHeight="1" x14ac:dyDescent="0.25">
      <c r="A173" s="17">
        <f t="shared" si="36"/>
        <v>46264</v>
      </c>
      <c r="B173" s="18">
        <f t="shared" si="37"/>
        <v>6</v>
      </c>
      <c r="C173" s="18" t="str">
        <f t="shared" si="38"/>
        <v>Sep 2026</v>
      </c>
      <c r="D173" s="37">
        <v>46269</v>
      </c>
      <c r="E173" s="17" t="str">
        <f t="shared" si="39"/>
        <v>Friday</v>
      </c>
      <c r="F173" s="38"/>
      <c r="G173" s="39">
        <f t="shared" si="40"/>
        <v>0</v>
      </c>
      <c r="H173" s="38"/>
      <c r="I173" s="38">
        <f t="shared" si="41"/>
        <v>0</v>
      </c>
      <c r="J173" s="40"/>
      <c r="K173" s="41">
        <f t="shared" si="42"/>
        <v>0</v>
      </c>
      <c r="L173" s="40"/>
      <c r="M173" s="40">
        <f t="shared" si="43"/>
        <v>0</v>
      </c>
      <c r="N173" s="42"/>
      <c r="O173" s="43">
        <f t="shared" si="44"/>
        <v>0</v>
      </c>
      <c r="P173" s="42"/>
      <c r="Q173" s="42">
        <f t="shared" si="45"/>
        <v>0</v>
      </c>
      <c r="R173" s="44">
        <f t="shared" si="46"/>
        <v>0</v>
      </c>
      <c r="S173" s="45">
        <f t="shared" si="47"/>
        <v>0</v>
      </c>
      <c r="T173" s="44">
        <f t="shared" si="48"/>
        <v>0</v>
      </c>
      <c r="U173" s="46">
        <f t="shared" si="49"/>
        <v>0</v>
      </c>
      <c r="V173" s="47"/>
      <c r="W173" s="48">
        <f t="shared" si="50"/>
        <v>0</v>
      </c>
      <c r="X173" s="49"/>
      <c r="Y173" s="50">
        <f t="shared" si="51"/>
        <v>0</v>
      </c>
      <c r="Z173" s="51"/>
      <c r="AA173" s="52">
        <f t="shared" si="52"/>
        <v>0</v>
      </c>
      <c r="AB173" s="36">
        <v>0</v>
      </c>
      <c r="AC173" s="36">
        <v>0</v>
      </c>
      <c r="AD173" s="29">
        <f t="shared" si="53"/>
        <v>0</v>
      </c>
    </row>
    <row r="174" spans="1:30" ht="15" customHeight="1" x14ac:dyDescent="0.25">
      <c r="A174" s="17">
        <f t="shared" si="36"/>
        <v>46264</v>
      </c>
      <c r="B174" s="18">
        <f t="shared" si="37"/>
        <v>7</v>
      </c>
      <c r="C174" s="18" t="str">
        <f t="shared" si="38"/>
        <v>Sep 2026</v>
      </c>
      <c r="D174" s="37">
        <v>46270</v>
      </c>
      <c r="E174" s="17" t="str">
        <f t="shared" si="39"/>
        <v>Saturday</v>
      </c>
      <c r="F174" s="38"/>
      <c r="G174" s="39">
        <f t="shared" si="40"/>
        <v>0</v>
      </c>
      <c r="H174" s="38"/>
      <c r="I174" s="38">
        <f t="shared" si="41"/>
        <v>0</v>
      </c>
      <c r="J174" s="40"/>
      <c r="K174" s="41">
        <f t="shared" si="42"/>
        <v>0</v>
      </c>
      <c r="L174" s="40"/>
      <c r="M174" s="40">
        <f t="shared" si="43"/>
        <v>0</v>
      </c>
      <c r="N174" s="42"/>
      <c r="O174" s="43">
        <f t="shared" si="44"/>
        <v>0</v>
      </c>
      <c r="P174" s="42"/>
      <c r="Q174" s="42">
        <f t="shared" si="45"/>
        <v>0</v>
      </c>
      <c r="R174" s="44">
        <f t="shared" si="46"/>
        <v>0</v>
      </c>
      <c r="S174" s="45">
        <f t="shared" si="47"/>
        <v>0</v>
      </c>
      <c r="T174" s="44">
        <f t="shared" si="48"/>
        <v>0</v>
      </c>
      <c r="U174" s="46">
        <f t="shared" si="49"/>
        <v>0</v>
      </c>
      <c r="V174" s="47"/>
      <c r="W174" s="48">
        <f t="shared" si="50"/>
        <v>0</v>
      </c>
      <c r="X174" s="49"/>
      <c r="Y174" s="50">
        <f t="shared" si="51"/>
        <v>0</v>
      </c>
      <c r="Z174" s="51"/>
      <c r="AA174" s="52">
        <f t="shared" si="52"/>
        <v>0</v>
      </c>
      <c r="AB174" s="36">
        <v>17</v>
      </c>
      <c r="AC174" s="36">
        <v>158.5</v>
      </c>
      <c r="AD174" s="29">
        <f t="shared" si="53"/>
        <v>158.5</v>
      </c>
    </row>
    <row r="175" spans="1:30" ht="15" customHeight="1" x14ac:dyDescent="0.25">
      <c r="A175" s="17">
        <f t="shared" si="36"/>
        <v>46271</v>
      </c>
      <c r="B175" s="18">
        <f t="shared" si="37"/>
        <v>1</v>
      </c>
      <c r="C175" s="18" t="str">
        <f t="shared" si="38"/>
        <v>Sep 2026</v>
      </c>
      <c r="D175" s="37">
        <v>46271</v>
      </c>
      <c r="E175" s="17" t="str">
        <f t="shared" si="39"/>
        <v>Sunday</v>
      </c>
      <c r="F175" s="38"/>
      <c r="G175" s="39">
        <f t="shared" si="40"/>
        <v>0</v>
      </c>
      <c r="H175" s="38"/>
      <c r="I175" s="38">
        <f t="shared" si="41"/>
        <v>0</v>
      </c>
      <c r="J175" s="40"/>
      <c r="K175" s="41">
        <f t="shared" si="42"/>
        <v>0</v>
      </c>
      <c r="L175" s="40"/>
      <c r="M175" s="40">
        <f t="shared" si="43"/>
        <v>0</v>
      </c>
      <c r="N175" s="42"/>
      <c r="O175" s="43">
        <f t="shared" si="44"/>
        <v>0</v>
      </c>
      <c r="P175" s="42"/>
      <c r="Q175" s="42">
        <f t="shared" si="45"/>
        <v>0</v>
      </c>
      <c r="R175" s="44">
        <f t="shared" si="46"/>
        <v>0</v>
      </c>
      <c r="S175" s="45">
        <f t="shared" si="47"/>
        <v>0</v>
      </c>
      <c r="T175" s="44">
        <f t="shared" si="48"/>
        <v>0</v>
      </c>
      <c r="U175" s="46">
        <f t="shared" si="49"/>
        <v>0</v>
      </c>
      <c r="V175" s="47"/>
      <c r="W175" s="48">
        <f t="shared" si="50"/>
        <v>0</v>
      </c>
      <c r="X175" s="49"/>
      <c r="Y175" s="50">
        <f t="shared" si="51"/>
        <v>0</v>
      </c>
      <c r="Z175" s="51"/>
      <c r="AA175" s="52">
        <f t="shared" si="52"/>
        <v>0</v>
      </c>
      <c r="AB175" s="36">
        <v>10</v>
      </c>
      <c r="AC175" s="36">
        <v>80</v>
      </c>
      <c r="AD175" s="29">
        <f t="shared" si="53"/>
        <v>80</v>
      </c>
    </row>
    <row r="176" spans="1:30" ht="15" customHeight="1" x14ac:dyDescent="0.25">
      <c r="A176" s="17">
        <f t="shared" si="36"/>
        <v>46271</v>
      </c>
      <c r="B176" s="18">
        <f t="shared" si="37"/>
        <v>2</v>
      </c>
      <c r="C176" s="18" t="str">
        <f t="shared" si="38"/>
        <v>Sep 2026</v>
      </c>
      <c r="D176" s="37">
        <v>46272</v>
      </c>
      <c r="E176" s="17" t="str">
        <f t="shared" si="39"/>
        <v>Monday</v>
      </c>
      <c r="F176" s="38"/>
      <c r="G176" s="39">
        <f t="shared" si="40"/>
        <v>0</v>
      </c>
      <c r="H176" s="38"/>
      <c r="I176" s="38">
        <f t="shared" si="41"/>
        <v>0</v>
      </c>
      <c r="J176" s="40"/>
      <c r="K176" s="41">
        <f t="shared" si="42"/>
        <v>0</v>
      </c>
      <c r="L176" s="40"/>
      <c r="M176" s="40">
        <f t="shared" si="43"/>
        <v>0</v>
      </c>
      <c r="N176" s="42"/>
      <c r="O176" s="43">
        <f t="shared" si="44"/>
        <v>0</v>
      </c>
      <c r="P176" s="42"/>
      <c r="Q176" s="42">
        <f t="shared" si="45"/>
        <v>0</v>
      </c>
      <c r="R176" s="44">
        <f t="shared" si="46"/>
        <v>0</v>
      </c>
      <c r="S176" s="45">
        <f t="shared" si="47"/>
        <v>0</v>
      </c>
      <c r="T176" s="44">
        <f t="shared" si="48"/>
        <v>0</v>
      </c>
      <c r="U176" s="46">
        <f t="shared" si="49"/>
        <v>0</v>
      </c>
      <c r="V176" s="47"/>
      <c r="W176" s="48">
        <f t="shared" si="50"/>
        <v>0</v>
      </c>
      <c r="X176" s="49"/>
      <c r="Y176" s="50">
        <f t="shared" si="51"/>
        <v>0</v>
      </c>
      <c r="Z176" s="51"/>
      <c r="AA176" s="52">
        <f t="shared" si="52"/>
        <v>0</v>
      </c>
      <c r="AB176" s="36">
        <v>11</v>
      </c>
      <c r="AC176" s="36">
        <v>87.5</v>
      </c>
      <c r="AD176" s="29">
        <f t="shared" si="53"/>
        <v>87.5</v>
      </c>
    </row>
    <row r="177" spans="1:30" ht="15" customHeight="1" x14ac:dyDescent="0.25">
      <c r="A177" s="17">
        <f t="shared" si="36"/>
        <v>46271</v>
      </c>
      <c r="B177" s="18">
        <f t="shared" si="37"/>
        <v>3</v>
      </c>
      <c r="C177" s="18" t="str">
        <f t="shared" si="38"/>
        <v>Sep 2026</v>
      </c>
      <c r="D177" s="37">
        <v>46273</v>
      </c>
      <c r="E177" s="17" t="str">
        <f t="shared" si="39"/>
        <v>Tuesday</v>
      </c>
      <c r="F177" s="38"/>
      <c r="G177" s="39">
        <f t="shared" si="40"/>
        <v>0</v>
      </c>
      <c r="H177" s="38"/>
      <c r="I177" s="38">
        <f t="shared" si="41"/>
        <v>0</v>
      </c>
      <c r="J177" s="40"/>
      <c r="K177" s="41">
        <f t="shared" si="42"/>
        <v>0</v>
      </c>
      <c r="L177" s="40"/>
      <c r="M177" s="40">
        <f t="shared" si="43"/>
        <v>0</v>
      </c>
      <c r="N177" s="42"/>
      <c r="O177" s="43">
        <f t="shared" si="44"/>
        <v>0</v>
      </c>
      <c r="P177" s="42"/>
      <c r="Q177" s="42">
        <f t="shared" si="45"/>
        <v>0</v>
      </c>
      <c r="R177" s="44">
        <f t="shared" si="46"/>
        <v>0</v>
      </c>
      <c r="S177" s="45">
        <f t="shared" si="47"/>
        <v>0</v>
      </c>
      <c r="T177" s="44">
        <f t="shared" si="48"/>
        <v>0</v>
      </c>
      <c r="U177" s="46">
        <f t="shared" si="49"/>
        <v>0</v>
      </c>
      <c r="V177" s="47"/>
      <c r="W177" s="48">
        <f t="shared" si="50"/>
        <v>0</v>
      </c>
      <c r="X177" s="49"/>
      <c r="Y177" s="50">
        <f t="shared" si="51"/>
        <v>0</v>
      </c>
      <c r="Z177" s="51"/>
      <c r="AA177" s="52">
        <f t="shared" si="52"/>
        <v>0</v>
      </c>
      <c r="AB177" s="36">
        <v>6</v>
      </c>
      <c r="AC177" s="36">
        <v>48</v>
      </c>
      <c r="AD177" s="29">
        <f t="shared" si="53"/>
        <v>48</v>
      </c>
    </row>
    <row r="178" spans="1:30" ht="15" customHeight="1" x14ac:dyDescent="0.25">
      <c r="A178" s="17">
        <f t="shared" si="36"/>
        <v>46271</v>
      </c>
      <c r="B178" s="18">
        <f t="shared" si="37"/>
        <v>4</v>
      </c>
      <c r="C178" s="18" t="str">
        <f t="shared" si="38"/>
        <v>Sep 2026</v>
      </c>
      <c r="D178" s="37">
        <v>46274</v>
      </c>
      <c r="E178" s="17" t="str">
        <f t="shared" si="39"/>
        <v>Wednesday</v>
      </c>
      <c r="F178" s="38"/>
      <c r="G178" s="39">
        <f t="shared" si="40"/>
        <v>0</v>
      </c>
      <c r="H178" s="38"/>
      <c r="I178" s="38">
        <f t="shared" si="41"/>
        <v>0</v>
      </c>
      <c r="J178" s="40"/>
      <c r="K178" s="41">
        <f t="shared" si="42"/>
        <v>0</v>
      </c>
      <c r="L178" s="40"/>
      <c r="M178" s="40">
        <f t="shared" si="43"/>
        <v>0</v>
      </c>
      <c r="N178" s="42"/>
      <c r="O178" s="43">
        <f t="shared" si="44"/>
        <v>0</v>
      </c>
      <c r="P178" s="42"/>
      <c r="Q178" s="42">
        <f t="shared" si="45"/>
        <v>0</v>
      </c>
      <c r="R178" s="44">
        <f t="shared" si="46"/>
        <v>0</v>
      </c>
      <c r="S178" s="45">
        <f t="shared" si="47"/>
        <v>0</v>
      </c>
      <c r="T178" s="44">
        <f t="shared" si="48"/>
        <v>0</v>
      </c>
      <c r="U178" s="46">
        <f t="shared" si="49"/>
        <v>0</v>
      </c>
      <c r="V178" s="47"/>
      <c r="W178" s="48">
        <f t="shared" si="50"/>
        <v>0</v>
      </c>
      <c r="X178" s="49"/>
      <c r="Y178" s="50">
        <f t="shared" si="51"/>
        <v>0</v>
      </c>
      <c r="Z178" s="51"/>
      <c r="AA178" s="52">
        <f t="shared" si="52"/>
        <v>0</v>
      </c>
      <c r="AB178" s="36">
        <v>7</v>
      </c>
      <c r="AC178" s="36">
        <v>52</v>
      </c>
      <c r="AD178" s="29">
        <f t="shared" si="53"/>
        <v>52</v>
      </c>
    </row>
    <row r="179" spans="1:30" ht="15" customHeight="1" x14ac:dyDescent="0.25">
      <c r="A179" s="17">
        <f t="shared" si="36"/>
        <v>46271</v>
      </c>
      <c r="B179" s="18">
        <f t="shared" si="37"/>
        <v>5</v>
      </c>
      <c r="C179" s="18" t="str">
        <f t="shared" si="38"/>
        <v>Sep 2026</v>
      </c>
      <c r="D179" s="37">
        <v>46275</v>
      </c>
      <c r="E179" s="17" t="str">
        <f t="shared" si="39"/>
        <v>Thursday</v>
      </c>
      <c r="F179" s="38"/>
      <c r="G179" s="39">
        <f t="shared" si="40"/>
        <v>0</v>
      </c>
      <c r="H179" s="38"/>
      <c r="I179" s="38">
        <f t="shared" si="41"/>
        <v>0</v>
      </c>
      <c r="J179" s="40"/>
      <c r="K179" s="41">
        <f t="shared" si="42"/>
        <v>0</v>
      </c>
      <c r="L179" s="40"/>
      <c r="M179" s="40">
        <f t="shared" si="43"/>
        <v>0</v>
      </c>
      <c r="N179" s="42"/>
      <c r="O179" s="43">
        <f t="shared" si="44"/>
        <v>0</v>
      </c>
      <c r="P179" s="42"/>
      <c r="Q179" s="42">
        <f t="shared" si="45"/>
        <v>0</v>
      </c>
      <c r="R179" s="44">
        <f t="shared" si="46"/>
        <v>0</v>
      </c>
      <c r="S179" s="45">
        <f t="shared" si="47"/>
        <v>0</v>
      </c>
      <c r="T179" s="44">
        <f t="shared" si="48"/>
        <v>0</v>
      </c>
      <c r="U179" s="46">
        <f t="shared" si="49"/>
        <v>0</v>
      </c>
      <c r="V179" s="47"/>
      <c r="W179" s="48">
        <f t="shared" si="50"/>
        <v>0</v>
      </c>
      <c r="X179" s="49"/>
      <c r="Y179" s="50">
        <f t="shared" si="51"/>
        <v>0</v>
      </c>
      <c r="Z179" s="51"/>
      <c r="AA179" s="52">
        <f t="shared" si="52"/>
        <v>0</v>
      </c>
      <c r="AB179" s="36">
        <v>11</v>
      </c>
      <c r="AC179" s="36">
        <v>94.5</v>
      </c>
      <c r="AD179" s="29">
        <f t="shared" si="53"/>
        <v>94.5</v>
      </c>
    </row>
    <row r="180" spans="1:30" ht="15" customHeight="1" x14ac:dyDescent="0.25">
      <c r="A180" s="17">
        <f t="shared" si="36"/>
        <v>46271</v>
      </c>
      <c r="B180" s="18">
        <f t="shared" si="37"/>
        <v>6</v>
      </c>
      <c r="C180" s="18" t="str">
        <f t="shared" si="38"/>
        <v>Sep 2026</v>
      </c>
      <c r="D180" s="37">
        <v>46276</v>
      </c>
      <c r="E180" s="17" t="str">
        <f t="shared" si="39"/>
        <v>Friday</v>
      </c>
      <c r="F180" s="38"/>
      <c r="G180" s="39">
        <f t="shared" si="40"/>
        <v>0</v>
      </c>
      <c r="H180" s="38"/>
      <c r="I180" s="38">
        <f t="shared" si="41"/>
        <v>0</v>
      </c>
      <c r="J180" s="40"/>
      <c r="K180" s="41">
        <f t="shared" si="42"/>
        <v>0</v>
      </c>
      <c r="L180" s="40"/>
      <c r="M180" s="40">
        <f t="shared" si="43"/>
        <v>0</v>
      </c>
      <c r="N180" s="42"/>
      <c r="O180" s="43">
        <f t="shared" si="44"/>
        <v>0</v>
      </c>
      <c r="P180" s="42"/>
      <c r="Q180" s="42">
        <f t="shared" si="45"/>
        <v>0</v>
      </c>
      <c r="R180" s="44">
        <f t="shared" si="46"/>
        <v>0</v>
      </c>
      <c r="S180" s="45">
        <f t="shared" si="47"/>
        <v>0</v>
      </c>
      <c r="T180" s="44">
        <f t="shared" si="48"/>
        <v>0</v>
      </c>
      <c r="U180" s="46">
        <f t="shared" si="49"/>
        <v>0</v>
      </c>
      <c r="V180" s="47"/>
      <c r="W180" s="48">
        <f t="shared" si="50"/>
        <v>0</v>
      </c>
      <c r="X180" s="49"/>
      <c r="Y180" s="50">
        <f t="shared" si="51"/>
        <v>0</v>
      </c>
      <c r="Z180" s="51"/>
      <c r="AA180" s="52">
        <f t="shared" si="52"/>
        <v>0</v>
      </c>
      <c r="AB180" s="36">
        <v>4</v>
      </c>
      <c r="AC180" s="36">
        <v>24.3</v>
      </c>
      <c r="AD180" s="29">
        <f t="shared" si="53"/>
        <v>24.3</v>
      </c>
    </row>
    <row r="181" spans="1:30" ht="15" customHeight="1" x14ac:dyDescent="0.25">
      <c r="A181" s="17">
        <f t="shared" si="36"/>
        <v>46271</v>
      </c>
      <c r="B181" s="18">
        <f t="shared" si="37"/>
        <v>7</v>
      </c>
      <c r="C181" s="18" t="str">
        <f t="shared" si="38"/>
        <v>Sep 2026</v>
      </c>
      <c r="D181" s="37">
        <v>46277</v>
      </c>
      <c r="E181" s="17" t="str">
        <f t="shared" si="39"/>
        <v>Saturday</v>
      </c>
      <c r="F181" s="38"/>
      <c r="G181" s="39">
        <f t="shared" si="40"/>
        <v>0</v>
      </c>
      <c r="H181" s="38"/>
      <c r="I181" s="38">
        <f t="shared" si="41"/>
        <v>0</v>
      </c>
      <c r="J181" s="40"/>
      <c r="K181" s="41">
        <f t="shared" si="42"/>
        <v>0</v>
      </c>
      <c r="L181" s="40"/>
      <c r="M181" s="40">
        <f t="shared" si="43"/>
        <v>0</v>
      </c>
      <c r="N181" s="42"/>
      <c r="O181" s="43">
        <f t="shared" si="44"/>
        <v>0</v>
      </c>
      <c r="P181" s="42"/>
      <c r="Q181" s="42">
        <f t="shared" si="45"/>
        <v>0</v>
      </c>
      <c r="R181" s="44">
        <f t="shared" si="46"/>
        <v>0</v>
      </c>
      <c r="S181" s="45">
        <f t="shared" si="47"/>
        <v>0</v>
      </c>
      <c r="T181" s="44">
        <f t="shared" si="48"/>
        <v>0</v>
      </c>
      <c r="U181" s="46">
        <f t="shared" si="49"/>
        <v>0</v>
      </c>
      <c r="V181" s="47"/>
      <c r="W181" s="48">
        <f t="shared" si="50"/>
        <v>0</v>
      </c>
      <c r="X181" s="49"/>
      <c r="Y181" s="50">
        <f t="shared" si="51"/>
        <v>0</v>
      </c>
      <c r="Z181" s="51"/>
      <c r="AA181" s="52">
        <f t="shared" si="52"/>
        <v>0</v>
      </c>
      <c r="AB181" s="36">
        <v>15</v>
      </c>
      <c r="AC181" s="36">
        <v>121</v>
      </c>
      <c r="AD181" s="29">
        <f t="shared" si="53"/>
        <v>121</v>
      </c>
    </row>
    <row r="182" spans="1:30" ht="15" customHeight="1" x14ac:dyDescent="0.25">
      <c r="A182" s="17">
        <f t="shared" si="36"/>
        <v>46278</v>
      </c>
      <c r="B182" s="18">
        <f t="shared" si="37"/>
        <v>1</v>
      </c>
      <c r="C182" s="18" t="str">
        <f t="shared" si="38"/>
        <v>Sep 2026</v>
      </c>
      <c r="D182" s="37">
        <v>46278</v>
      </c>
      <c r="E182" s="17" t="str">
        <f t="shared" si="39"/>
        <v>Sunday</v>
      </c>
      <c r="F182" s="38"/>
      <c r="G182" s="39">
        <f t="shared" si="40"/>
        <v>0</v>
      </c>
      <c r="H182" s="38"/>
      <c r="I182" s="38">
        <f t="shared" si="41"/>
        <v>0</v>
      </c>
      <c r="J182" s="40"/>
      <c r="K182" s="41">
        <f t="shared" si="42"/>
        <v>0</v>
      </c>
      <c r="L182" s="40"/>
      <c r="M182" s="40">
        <f t="shared" si="43"/>
        <v>0</v>
      </c>
      <c r="N182" s="42"/>
      <c r="O182" s="43">
        <f t="shared" si="44"/>
        <v>0</v>
      </c>
      <c r="P182" s="42"/>
      <c r="Q182" s="42">
        <f t="shared" si="45"/>
        <v>0</v>
      </c>
      <c r="R182" s="44">
        <f t="shared" si="46"/>
        <v>0</v>
      </c>
      <c r="S182" s="45">
        <f t="shared" si="47"/>
        <v>0</v>
      </c>
      <c r="T182" s="44">
        <f t="shared" si="48"/>
        <v>0</v>
      </c>
      <c r="U182" s="46">
        <f t="shared" si="49"/>
        <v>0</v>
      </c>
      <c r="V182" s="47"/>
      <c r="W182" s="48">
        <f t="shared" si="50"/>
        <v>0</v>
      </c>
      <c r="X182" s="49"/>
      <c r="Y182" s="50">
        <f t="shared" si="51"/>
        <v>0</v>
      </c>
      <c r="Z182" s="51"/>
      <c r="AA182" s="52">
        <f t="shared" si="52"/>
        <v>0</v>
      </c>
      <c r="AB182" s="36">
        <v>11</v>
      </c>
      <c r="AC182" s="36">
        <v>83.5</v>
      </c>
      <c r="AD182" s="29">
        <f t="shared" si="53"/>
        <v>83.5</v>
      </c>
    </row>
    <row r="183" spans="1:30" ht="15" customHeight="1" x14ac:dyDescent="0.25">
      <c r="A183" s="17">
        <f t="shared" si="36"/>
        <v>46278</v>
      </c>
      <c r="B183" s="18">
        <f t="shared" si="37"/>
        <v>2</v>
      </c>
      <c r="C183" s="18" t="str">
        <f t="shared" si="38"/>
        <v>Sep 2026</v>
      </c>
      <c r="D183" s="37">
        <v>46279</v>
      </c>
      <c r="E183" s="17" t="str">
        <f t="shared" si="39"/>
        <v>Monday</v>
      </c>
      <c r="F183" s="38"/>
      <c r="G183" s="39">
        <f t="shared" si="40"/>
        <v>0</v>
      </c>
      <c r="H183" s="38"/>
      <c r="I183" s="38">
        <f t="shared" si="41"/>
        <v>0</v>
      </c>
      <c r="J183" s="40"/>
      <c r="K183" s="41">
        <f t="shared" si="42"/>
        <v>0</v>
      </c>
      <c r="L183" s="40"/>
      <c r="M183" s="40">
        <f t="shared" si="43"/>
        <v>0</v>
      </c>
      <c r="N183" s="42"/>
      <c r="O183" s="43">
        <f t="shared" si="44"/>
        <v>0</v>
      </c>
      <c r="P183" s="42"/>
      <c r="Q183" s="42">
        <f t="shared" si="45"/>
        <v>0</v>
      </c>
      <c r="R183" s="44">
        <f t="shared" si="46"/>
        <v>0</v>
      </c>
      <c r="S183" s="45">
        <f t="shared" si="47"/>
        <v>0</v>
      </c>
      <c r="T183" s="44">
        <f t="shared" si="48"/>
        <v>0</v>
      </c>
      <c r="U183" s="46">
        <f t="shared" si="49"/>
        <v>0</v>
      </c>
      <c r="V183" s="47"/>
      <c r="W183" s="48">
        <f t="shared" si="50"/>
        <v>0</v>
      </c>
      <c r="X183" s="49"/>
      <c r="Y183" s="50">
        <f t="shared" si="51"/>
        <v>0</v>
      </c>
      <c r="Z183" s="51"/>
      <c r="AA183" s="52">
        <f t="shared" si="52"/>
        <v>0</v>
      </c>
      <c r="AB183" s="36">
        <v>9</v>
      </c>
      <c r="AC183" s="36">
        <v>75.2</v>
      </c>
      <c r="AD183" s="29">
        <f t="shared" si="53"/>
        <v>75.2</v>
      </c>
    </row>
    <row r="184" spans="1:30" ht="15" customHeight="1" x14ac:dyDescent="0.25">
      <c r="A184" s="17">
        <f t="shared" si="36"/>
        <v>46278</v>
      </c>
      <c r="B184" s="18">
        <f t="shared" si="37"/>
        <v>3</v>
      </c>
      <c r="C184" s="18" t="str">
        <f t="shared" si="38"/>
        <v>Sep 2026</v>
      </c>
      <c r="D184" s="37">
        <v>46280</v>
      </c>
      <c r="E184" s="17" t="str">
        <f t="shared" si="39"/>
        <v>Tuesday</v>
      </c>
      <c r="F184" s="38"/>
      <c r="G184" s="39">
        <f t="shared" si="40"/>
        <v>0</v>
      </c>
      <c r="H184" s="38"/>
      <c r="I184" s="38">
        <f t="shared" si="41"/>
        <v>0</v>
      </c>
      <c r="J184" s="40"/>
      <c r="K184" s="41">
        <f t="shared" si="42"/>
        <v>0</v>
      </c>
      <c r="L184" s="40"/>
      <c r="M184" s="40">
        <f t="shared" si="43"/>
        <v>0</v>
      </c>
      <c r="N184" s="42"/>
      <c r="O184" s="43">
        <f t="shared" si="44"/>
        <v>0</v>
      </c>
      <c r="P184" s="42"/>
      <c r="Q184" s="42">
        <f t="shared" si="45"/>
        <v>0</v>
      </c>
      <c r="R184" s="44">
        <f t="shared" si="46"/>
        <v>0</v>
      </c>
      <c r="S184" s="45">
        <f t="shared" si="47"/>
        <v>0</v>
      </c>
      <c r="T184" s="44">
        <f t="shared" si="48"/>
        <v>0</v>
      </c>
      <c r="U184" s="46">
        <f t="shared" si="49"/>
        <v>0</v>
      </c>
      <c r="V184" s="47"/>
      <c r="W184" s="48">
        <f t="shared" si="50"/>
        <v>0</v>
      </c>
      <c r="X184" s="49"/>
      <c r="Y184" s="50">
        <f t="shared" si="51"/>
        <v>0</v>
      </c>
      <c r="Z184" s="51"/>
      <c r="AA184" s="52">
        <f t="shared" si="52"/>
        <v>0</v>
      </c>
      <c r="AB184" s="36">
        <v>4</v>
      </c>
      <c r="AC184" s="36">
        <v>32</v>
      </c>
      <c r="AD184" s="29">
        <f t="shared" si="53"/>
        <v>32</v>
      </c>
    </row>
    <row r="185" spans="1:30" ht="15" customHeight="1" x14ac:dyDescent="0.25">
      <c r="A185" s="17">
        <f t="shared" si="36"/>
        <v>46278</v>
      </c>
      <c r="B185" s="18">
        <f t="shared" si="37"/>
        <v>4</v>
      </c>
      <c r="C185" s="18" t="str">
        <f t="shared" si="38"/>
        <v>Sep 2026</v>
      </c>
      <c r="D185" s="37">
        <v>46281</v>
      </c>
      <c r="E185" s="17" t="str">
        <f t="shared" si="39"/>
        <v>Wednesday</v>
      </c>
      <c r="F185" s="38"/>
      <c r="G185" s="39">
        <f t="shared" si="40"/>
        <v>0</v>
      </c>
      <c r="H185" s="38"/>
      <c r="I185" s="38">
        <f t="shared" si="41"/>
        <v>0</v>
      </c>
      <c r="J185" s="40"/>
      <c r="K185" s="41">
        <f t="shared" si="42"/>
        <v>0</v>
      </c>
      <c r="L185" s="40"/>
      <c r="M185" s="40">
        <f t="shared" si="43"/>
        <v>0</v>
      </c>
      <c r="N185" s="42"/>
      <c r="O185" s="43">
        <f t="shared" si="44"/>
        <v>0</v>
      </c>
      <c r="P185" s="42"/>
      <c r="Q185" s="42">
        <f t="shared" si="45"/>
        <v>0</v>
      </c>
      <c r="R185" s="44">
        <f t="shared" si="46"/>
        <v>0</v>
      </c>
      <c r="S185" s="45">
        <f t="shared" si="47"/>
        <v>0</v>
      </c>
      <c r="T185" s="44">
        <f t="shared" si="48"/>
        <v>0</v>
      </c>
      <c r="U185" s="46">
        <f t="shared" si="49"/>
        <v>0</v>
      </c>
      <c r="V185" s="47"/>
      <c r="W185" s="48">
        <f t="shared" si="50"/>
        <v>0</v>
      </c>
      <c r="X185" s="49"/>
      <c r="Y185" s="50">
        <f t="shared" si="51"/>
        <v>0</v>
      </c>
      <c r="Z185" s="51"/>
      <c r="AA185" s="52">
        <f t="shared" si="52"/>
        <v>0</v>
      </c>
      <c r="AB185" s="36">
        <v>13</v>
      </c>
      <c r="AC185" s="36">
        <v>102.5</v>
      </c>
      <c r="AD185" s="29">
        <f t="shared" si="53"/>
        <v>102.5</v>
      </c>
    </row>
    <row r="186" spans="1:30" ht="15" customHeight="1" x14ac:dyDescent="0.25">
      <c r="A186" s="17">
        <f t="shared" si="36"/>
        <v>46278</v>
      </c>
      <c r="B186" s="18">
        <f t="shared" si="37"/>
        <v>5</v>
      </c>
      <c r="C186" s="18" t="str">
        <f t="shared" si="38"/>
        <v>Sep 2026</v>
      </c>
      <c r="D186" s="37">
        <v>46282</v>
      </c>
      <c r="E186" s="17" t="str">
        <f t="shared" si="39"/>
        <v>Thursday</v>
      </c>
      <c r="F186" s="38"/>
      <c r="G186" s="39">
        <f t="shared" si="40"/>
        <v>0</v>
      </c>
      <c r="H186" s="38"/>
      <c r="I186" s="38">
        <f t="shared" si="41"/>
        <v>0</v>
      </c>
      <c r="J186" s="40"/>
      <c r="K186" s="41">
        <f t="shared" si="42"/>
        <v>0</v>
      </c>
      <c r="L186" s="40"/>
      <c r="M186" s="40">
        <f t="shared" si="43"/>
        <v>0</v>
      </c>
      <c r="N186" s="42"/>
      <c r="O186" s="43">
        <f t="shared" si="44"/>
        <v>0</v>
      </c>
      <c r="P186" s="42"/>
      <c r="Q186" s="42">
        <f t="shared" si="45"/>
        <v>0</v>
      </c>
      <c r="R186" s="44">
        <f t="shared" si="46"/>
        <v>0</v>
      </c>
      <c r="S186" s="45">
        <f t="shared" si="47"/>
        <v>0</v>
      </c>
      <c r="T186" s="44">
        <f t="shared" si="48"/>
        <v>0</v>
      </c>
      <c r="U186" s="46">
        <f t="shared" si="49"/>
        <v>0</v>
      </c>
      <c r="V186" s="47"/>
      <c r="W186" s="48">
        <f t="shared" si="50"/>
        <v>0</v>
      </c>
      <c r="X186" s="49"/>
      <c r="Y186" s="50">
        <f t="shared" si="51"/>
        <v>0</v>
      </c>
      <c r="Z186" s="51"/>
      <c r="AA186" s="52">
        <f t="shared" si="52"/>
        <v>0</v>
      </c>
      <c r="AB186" s="36">
        <v>10</v>
      </c>
      <c r="AC186" s="36">
        <v>81.75</v>
      </c>
      <c r="AD186" s="29">
        <f t="shared" si="53"/>
        <v>81.75</v>
      </c>
    </row>
    <row r="187" spans="1:30" ht="15" customHeight="1" x14ac:dyDescent="0.25">
      <c r="A187" s="17">
        <f t="shared" si="36"/>
        <v>46278</v>
      </c>
      <c r="B187" s="18">
        <f t="shared" si="37"/>
        <v>6</v>
      </c>
      <c r="C187" s="18" t="str">
        <f t="shared" si="38"/>
        <v>Sep 2026</v>
      </c>
      <c r="D187" s="37">
        <v>46283</v>
      </c>
      <c r="E187" s="17" t="str">
        <f t="shared" si="39"/>
        <v>Friday</v>
      </c>
      <c r="F187" s="38"/>
      <c r="G187" s="39">
        <f t="shared" si="40"/>
        <v>0</v>
      </c>
      <c r="H187" s="38"/>
      <c r="I187" s="38">
        <f t="shared" si="41"/>
        <v>0</v>
      </c>
      <c r="J187" s="40"/>
      <c r="K187" s="41">
        <f t="shared" si="42"/>
        <v>0</v>
      </c>
      <c r="L187" s="40"/>
      <c r="M187" s="40">
        <f t="shared" si="43"/>
        <v>0</v>
      </c>
      <c r="N187" s="42"/>
      <c r="O187" s="43">
        <f t="shared" si="44"/>
        <v>0</v>
      </c>
      <c r="P187" s="42"/>
      <c r="Q187" s="42">
        <f t="shared" si="45"/>
        <v>0</v>
      </c>
      <c r="R187" s="44">
        <f t="shared" si="46"/>
        <v>0</v>
      </c>
      <c r="S187" s="45">
        <f t="shared" si="47"/>
        <v>0</v>
      </c>
      <c r="T187" s="44">
        <f t="shared" si="48"/>
        <v>0</v>
      </c>
      <c r="U187" s="46">
        <f t="shared" si="49"/>
        <v>0</v>
      </c>
      <c r="V187" s="47"/>
      <c r="W187" s="48">
        <f t="shared" si="50"/>
        <v>0</v>
      </c>
      <c r="X187" s="49"/>
      <c r="Y187" s="50">
        <f t="shared" si="51"/>
        <v>0</v>
      </c>
      <c r="Z187" s="51"/>
      <c r="AA187" s="52">
        <f t="shared" si="52"/>
        <v>0</v>
      </c>
      <c r="AB187" s="36">
        <v>3</v>
      </c>
      <c r="AC187" s="36">
        <v>22.5</v>
      </c>
      <c r="AD187" s="29">
        <f t="shared" si="53"/>
        <v>22.5</v>
      </c>
    </row>
    <row r="188" spans="1:30" ht="15" customHeight="1" x14ac:dyDescent="0.25">
      <c r="A188" s="17">
        <f t="shared" si="36"/>
        <v>46278</v>
      </c>
      <c r="B188" s="18">
        <f t="shared" si="37"/>
        <v>7</v>
      </c>
      <c r="C188" s="18" t="str">
        <f t="shared" si="38"/>
        <v>Sep 2026</v>
      </c>
      <c r="D188" s="37">
        <v>46284</v>
      </c>
      <c r="E188" s="17" t="str">
        <f t="shared" si="39"/>
        <v>Saturday</v>
      </c>
      <c r="F188" s="38"/>
      <c r="G188" s="39">
        <f t="shared" si="40"/>
        <v>0</v>
      </c>
      <c r="H188" s="38"/>
      <c r="I188" s="38">
        <f t="shared" si="41"/>
        <v>0</v>
      </c>
      <c r="J188" s="40"/>
      <c r="K188" s="41">
        <f t="shared" si="42"/>
        <v>0</v>
      </c>
      <c r="L188" s="40"/>
      <c r="M188" s="40">
        <f t="shared" si="43"/>
        <v>0</v>
      </c>
      <c r="N188" s="42"/>
      <c r="O188" s="43">
        <f t="shared" si="44"/>
        <v>0</v>
      </c>
      <c r="P188" s="42"/>
      <c r="Q188" s="42">
        <f t="shared" si="45"/>
        <v>0</v>
      </c>
      <c r="R188" s="44">
        <f t="shared" si="46"/>
        <v>0</v>
      </c>
      <c r="S188" s="45">
        <f t="shared" si="47"/>
        <v>0</v>
      </c>
      <c r="T188" s="44">
        <f t="shared" si="48"/>
        <v>0</v>
      </c>
      <c r="U188" s="46">
        <f t="shared" si="49"/>
        <v>0</v>
      </c>
      <c r="V188" s="47"/>
      <c r="W188" s="48">
        <f t="shared" si="50"/>
        <v>0</v>
      </c>
      <c r="X188" s="49"/>
      <c r="Y188" s="50">
        <f t="shared" si="51"/>
        <v>0</v>
      </c>
      <c r="Z188" s="51"/>
      <c r="AA188" s="52">
        <f t="shared" si="52"/>
        <v>0</v>
      </c>
      <c r="AB188" s="36">
        <v>12</v>
      </c>
      <c r="AC188" s="36">
        <v>103.5</v>
      </c>
      <c r="AD188" s="29">
        <f t="shared" si="53"/>
        <v>103.5</v>
      </c>
    </row>
    <row r="189" spans="1:30" ht="15" customHeight="1" x14ac:dyDescent="0.25">
      <c r="A189" s="17">
        <f t="shared" si="36"/>
        <v>46285</v>
      </c>
      <c r="B189" s="18">
        <f t="shared" si="37"/>
        <v>1</v>
      </c>
      <c r="C189" s="18" t="str">
        <f t="shared" si="38"/>
        <v>Sep 2026</v>
      </c>
      <c r="D189" s="37">
        <v>46285</v>
      </c>
      <c r="E189" s="17" t="str">
        <f t="shared" si="39"/>
        <v>Sunday</v>
      </c>
      <c r="F189" s="38"/>
      <c r="G189" s="39">
        <f t="shared" si="40"/>
        <v>0</v>
      </c>
      <c r="H189" s="38"/>
      <c r="I189" s="38">
        <f t="shared" si="41"/>
        <v>0</v>
      </c>
      <c r="J189" s="40"/>
      <c r="K189" s="41">
        <f t="shared" si="42"/>
        <v>0</v>
      </c>
      <c r="L189" s="40"/>
      <c r="M189" s="40">
        <f t="shared" si="43"/>
        <v>0</v>
      </c>
      <c r="N189" s="42"/>
      <c r="O189" s="43">
        <f t="shared" si="44"/>
        <v>0</v>
      </c>
      <c r="P189" s="42"/>
      <c r="Q189" s="42">
        <f t="shared" si="45"/>
        <v>0</v>
      </c>
      <c r="R189" s="44">
        <f t="shared" si="46"/>
        <v>0</v>
      </c>
      <c r="S189" s="45">
        <f t="shared" si="47"/>
        <v>0</v>
      </c>
      <c r="T189" s="44">
        <f t="shared" si="48"/>
        <v>0</v>
      </c>
      <c r="U189" s="46">
        <f t="shared" si="49"/>
        <v>0</v>
      </c>
      <c r="V189" s="47"/>
      <c r="W189" s="48">
        <f t="shared" si="50"/>
        <v>0</v>
      </c>
      <c r="X189" s="49"/>
      <c r="Y189" s="50">
        <f t="shared" si="51"/>
        <v>0</v>
      </c>
      <c r="Z189" s="51"/>
      <c r="AA189" s="52">
        <f t="shared" si="52"/>
        <v>0</v>
      </c>
      <c r="AB189" s="36"/>
      <c r="AC189" s="36"/>
      <c r="AD189" s="29">
        <f t="shared" si="53"/>
        <v>0</v>
      </c>
    </row>
    <row r="190" spans="1:30" ht="15" customHeight="1" x14ac:dyDescent="0.25">
      <c r="A190" s="17">
        <f t="shared" si="36"/>
        <v>46285</v>
      </c>
      <c r="B190" s="18">
        <f t="shared" si="37"/>
        <v>2</v>
      </c>
      <c r="C190" s="18" t="str">
        <f t="shared" si="38"/>
        <v>Sep 2026</v>
      </c>
      <c r="D190" s="37">
        <v>46286</v>
      </c>
      <c r="E190" s="17" t="str">
        <f t="shared" si="39"/>
        <v>Monday</v>
      </c>
      <c r="F190" s="38"/>
      <c r="G190" s="39">
        <f t="shared" si="40"/>
        <v>0</v>
      </c>
      <c r="H190" s="38"/>
      <c r="I190" s="38">
        <f t="shared" si="41"/>
        <v>0</v>
      </c>
      <c r="J190" s="40"/>
      <c r="K190" s="41">
        <f t="shared" si="42"/>
        <v>0</v>
      </c>
      <c r="L190" s="40"/>
      <c r="M190" s="40">
        <f t="shared" si="43"/>
        <v>0</v>
      </c>
      <c r="N190" s="42"/>
      <c r="O190" s="43">
        <f t="shared" si="44"/>
        <v>0</v>
      </c>
      <c r="P190" s="42"/>
      <c r="Q190" s="42">
        <f t="shared" si="45"/>
        <v>0</v>
      </c>
      <c r="R190" s="44">
        <f t="shared" si="46"/>
        <v>0</v>
      </c>
      <c r="S190" s="45">
        <f t="shared" si="47"/>
        <v>0</v>
      </c>
      <c r="T190" s="44">
        <f t="shared" si="48"/>
        <v>0</v>
      </c>
      <c r="U190" s="46">
        <f t="shared" si="49"/>
        <v>0</v>
      </c>
      <c r="V190" s="47"/>
      <c r="W190" s="48">
        <f t="shared" si="50"/>
        <v>0</v>
      </c>
      <c r="X190" s="49"/>
      <c r="Y190" s="50">
        <f t="shared" si="51"/>
        <v>0</v>
      </c>
      <c r="Z190" s="51"/>
      <c r="AA190" s="52">
        <f t="shared" si="52"/>
        <v>0</v>
      </c>
      <c r="AB190" s="36"/>
      <c r="AC190" s="36"/>
      <c r="AD190" s="29">
        <f t="shared" si="53"/>
        <v>0</v>
      </c>
    </row>
    <row r="191" spans="1:30" ht="15" customHeight="1" x14ac:dyDescent="0.25">
      <c r="A191" s="17">
        <f t="shared" si="36"/>
        <v>46285</v>
      </c>
      <c r="B191" s="18">
        <f t="shared" si="37"/>
        <v>3</v>
      </c>
      <c r="C191" s="18" t="str">
        <f t="shared" si="38"/>
        <v>Sep 2026</v>
      </c>
      <c r="D191" s="37">
        <v>46287</v>
      </c>
      <c r="E191" s="17" t="str">
        <f t="shared" si="39"/>
        <v>Tuesday</v>
      </c>
      <c r="F191" s="38"/>
      <c r="G191" s="39">
        <f t="shared" si="40"/>
        <v>0</v>
      </c>
      <c r="H191" s="38"/>
      <c r="I191" s="38">
        <f t="shared" si="41"/>
        <v>0</v>
      </c>
      <c r="J191" s="40"/>
      <c r="K191" s="41">
        <f t="shared" si="42"/>
        <v>0</v>
      </c>
      <c r="L191" s="40"/>
      <c r="M191" s="40">
        <f t="shared" si="43"/>
        <v>0</v>
      </c>
      <c r="N191" s="42"/>
      <c r="O191" s="43">
        <f t="shared" si="44"/>
        <v>0</v>
      </c>
      <c r="P191" s="42"/>
      <c r="Q191" s="42">
        <f t="shared" si="45"/>
        <v>0</v>
      </c>
      <c r="R191" s="44">
        <f t="shared" si="46"/>
        <v>0</v>
      </c>
      <c r="S191" s="45">
        <f t="shared" si="47"/>
        <v>0</v>
      </c>
      <c r="T191" s="44">
        <f t="shared" si="48"/>
        <v>0</v>
      </c>
      <c r="U191" s="46">
        <f t="shared" si="49"/>
        <v>0</v>
      </c>
      <c r="V191" s="47"/>
      <c r="W191" s="48">
        <f t="shared" si="50"/>
        <v>0</v>
      </c>
      <c r="X191" s="49"/>
      <c r="Y191" s="50">
        <f t="shared" si="51"/>
        <v>0</v>
      </c>
      <c r="Z191" s="51"/>
      <c r="AA191" s="52">
        <f t="shared" si="52"/>
        <v>0</v>
      </c>
      <c r="AB191" s="36"/>
      <c r="AC191" s="36"/>
      <c r="AD191" s="29">
        <f t="shared" si="53"/>
        <v>0</v>
      </c>
    </row>
    <row r="192" spans="1:30" ht="15" customHeight="1" x14ac:dyDescent="0.25">
      <c r="A192" s="17">
        <f t="shared" si="36"/>
        <v>46285</v>
      </c>
      <c r="B192" s="18">
        <f t="shared" si="37"/>
        <v>4</v>
      </c>
      <c r="C192" s="18" t="str">
        <f t="shared" si="38"/>
        <v>Sep 2026</v>
      </c>
      <c r="D192" s="37">
        <v>46288</v>
      </c>
      <c r="E192" s="17" t="str">
        <f t="shared" si="39"/>
        <v>Wednesday</v>
      </c>
      <c r="F192" s="38"/>
      <c r="G192" s="39">
        <f t="shared" si="40"/>
        <v>0</v>
      </c>
      <c r="H192" s="38"/>
      <c r="I192" s="38">
        <f t="shared" si="41"/>
        <v>0</v>
      </c>
      <c r="J192" s="40"/>
      <c r="K192" s="41">
        <f t="shared" si="42"/>
        <v>0</v>
      </c>
      <c r="L192" s="40"/>
      <c r="M192" s="40">
        <f t="shared" si="43"/>
        <v>0</v>
      </c>
      <c r="N192" s="42"/>
      <c r="O192" s="43">
        <f t="shared" si="44"/>
        <v>0</v>
      </c>
      <c r="P192" s="42"/>
      <c r="Q192" s="42">
        <f t="shared" si="45"/>
        <v>0</v>
      </c>
      <c r="R192" s="44">
        <f t="shared" si="46"/>
        <v>0</v>
      </c>
      <c r="S192" s="45">
        <f t="shared" si="47"/>
        <v>0</v>
      </c>
      <c r="T192" s="44">
        <f t="shared" si="48"/>
        <v>0</v>
      </c>
      <c r="U192" s="46">
        <f t="shared" si="49"/>
        <v>0</v>
      </c>
      <c r="V192" s="47"/>
      <c r="W192" s="48">
        <f t="shared" si="50"/>
        <v>0</v>
      </c>
      <c r="X192" s="49"/>
      <c r="Y192" s="50">
        <f t="shared" si="51"/>
        <v>0</v>
      </c>
      <c r="Z192" s="51"/>
      <c r="AA192" s="52">
        <f t="shared" si="52"/>
        <v>0</v>
      </c>
      <c r="AB192" s="36"/>
      <c r="AC192" s="36"/>
      <c r="AD192" s="29">
        <f t="shared" si="53"/>
        <v>0</v>
      </c>
    </row>
    <row r="193" spans="1:30" ht="15" customHeight="1" x14ac:dyDescent="0.25">
      <c r="A193" s="17">
        <f t="shared" si="36"/>
        <v>46285</v>
      </c>
      <c r="B193" s="18">
        <f t="shared" si="37"/>
        <v>5</v>
      </c>
      <c r="C193" s="18" t="str">
        <f t="shared" si="38"/>
        <v>Sep 2026</v>
      </c>
      <c r="D193" s="37">
        <v>46289</v>
      </c>
      <c r="E193" s="17" t="str">
        <f t="shared" si="39"/>
        <v>Thursday</v>
      </c>
      <c r="F193" s="38"/>
      <c r="G193" s="39">
        <f t="shared" si="40"/>
        <v>0</v>
      </c>
      <c r="H193" s="38"/>
      <c r="I193" s="38">
        <f t="shared" si="41"/>
        <v>0</v>
      </c>
      <c r="J193" s="40"/>
      <c r="K193" s="41">
        <f t="shared" si="42"/>
        <v>0</v>
      </c>
      <c r="L193" s="40"/>
      <c r="M193" s="40">
        <f t="shared" si="43"/>
        <v>0</v>
      </c>
      <c r="N193" s="42"/>
      <c r="O193" s="43">
        <f t="shared" si="44"/>
        <v>0</v>
      </c>
      <c r="P193" s="42"/>
      <c r="Q193" s="42">
        <f t="shared" si="45"/>
        <v>0</v>
      </c>
      <c r="R193" s="44">
        <f t="shared" si="46"/>
        <v>0</v>
      </c>
      <c r="S193" s="45">
        <f t="shared" si="47"/>
        <v>0</v>
      </c>
      <c r="T193" s="44">
        <f t="shared" si="48"/>
        <v>0</v>
      </c>
      <c r="U193" s="46">
        <f t="shared" si="49"/>
        <v>0</v>
      </c>
      <c r="V193" s="47"/>
      <c r="W193" s="48">
        <f t="shared" si="50"/>
        <v>0</v>
      </c>
      <c r="X193" s="49"/>
      <c r="Y193" s="50">
        <f t="shared" si="51"/>
        <v>0</v>
      </c>
      <c r="Z193" s="51"/>
      <c r="AA193" s="52">
        <f t="shared" si="52"/>
        <v>0</v>
      </c>
      <c r="AB193" s="36"/>
      <c r="AC193" s="36"/>
      <c r="AD193" s="29">
        <f t="shared" si="53"/>
        <v>0</v>
      </c>
    </row>
    <row r="194" spans="1:30" ht="15" customHeight="1" x14ac:dyDescent="0.25">
      <c r="A194" s="17">
        <f t="shared" ref="A194:A257" si="55">D194-WEEKDAY(D194,1)+1</f>
        <v>46285</v>
      </c>
      <c r="B194" s="18">
        <f t="shared" ref="B194:B257" si="56">WEEKDAY(D194,1)</f>
        <v>6</v>
      </c>
      <c r="C194" s="18" t="str">
        <f t="shared" ref="C194:C257" si="57">TEXT(D194,"mmm yyyy")</f>
        <v>Sep 2026</v>
      </c>
      <c r="D194" s="37">
        <v>46290</v>
      </c>
      <c r="E194" s="17" t="str">
        <f t="shared" ref="E194:E257" si="58">TEXT(D194,"dddd")</f>
        <v>Friday</v>
      </c>
      <c r="F194" s="38"/>
      <c r="G194" s="39">
        <f t="shared" ref="G194:G257" si="59">F194*8</f>
        <v>0</v>
      </c>
      <c r="H194" s="38"/>
      <c r="I194" s="38">
        <f t="shared" ref="I194:I257" si="60">SUM(H194,G194)</f>
        <v>0</v>
      </c>
      <c r="J194" s="40"/>
      <c r="K194" s="41">
        <f t="shared" ref="K194:K257" si="61">J194*8</f>
        <v>0</v>
      </c>
      <c r="L194" s="40"/>
      <c r="M194" s="40">
        <f t="shared" ref="M194:M257" si="62">SUM(K194,L194)</f>
        <v>0</v>
      </c>
      <c r="N194" s="42"/>
      <c r="O194" s="43">
        <f t="shared" ref="O194:O257" si="63">N194*8</f>
        <v>0</v>
      </c>
      <c r="P194" s="42"/>
      <c r="Q194" s="42">
        <f t="shared" ref="Q194:Q257" si="64">SUM(O194,P194)</f>
        <v>0</v>
      </c>
      <c r="R194" s="44">
        <f t="shared" ref="R194:R257" si="65">SUM(F194,J194,N194)</f>
        <v>0</v>
      </c>
      <c r="S194" s="45">
        <f t="shared" ref="S194:S257" si="66">R194*8</f>
        <v>0</v>
      </c>
      <c r="T194" s="44">
        <f t="shared" ref="T194:T257" si="67">SUM(G194,H194,K194,L194,O194,P194)</f>
        <v>0</v>
      </c>
      <c r="U194" s="46">
        <f t="shared" ref="U194:U257" si="68">T194-S194</f>
        <v>0</v>
      </c>
      <c r="V194" s="47"/>
      <c r="W194" s="48">
        <f t="shared" ref="W194:W257" si="69">V194*8</f>
        <v>0</v>
      </c>
      <c r="X194" s="49"/>
      <c r="Y194" s="50">
        <f t="shared" ref="Y194:Y257" si="70">X194*8</f>
        <v>0</v>
      </c>
      <c r="Z194" s="51"/>
      <c r="AA194" s="52">
        <f t="shared" ref="AA194:AA257" si="71">Z194*8</f>
        <v>0</v>
      </c>
      <c r="AB194" s="36"/>
      <c r="AC194" s="36"/>
      <c r="AD194" s="29">
        <f t="shared" ref="AD194:AD257" si="72">SUM(T194,AA194,Y194,W194,AC194)</f>
        <v>0</v>
      </c>
    </row>
    <row r="195" spans="1:30" ht="15" customHeight="1" x14ac:dyDescent="0.25">
      <c r="A195" s="17">
        <f t="shared" si="55"/>
        <v>46285</v>
      </c>
      <c r="B195" s="18">
        <f t="shared" si="56"/>
        <v>7</v>
      </c>
      <c r="C195" s="18" t="str">
        <f t="shared" si="57"/>
        <v>Sep 2026</v>
      </c>
      <c r="D195" s="37">
        <v>46291</v>
      </c>
      <c r="E195" s="17" t="str">
        <f t="shared" si="58"/>
        <v>Saturday</v>
      </c>
      <c r="F195" s="38"/>
      <c r="G195" s="39">
        <f t="shared" si="59"/>
        <v>0</v>
      </c>
      <c r="H195" s="38"/>
      <c r="I195" s="38">
        <f t="shared" si="60"/>
        <v>0</v>
      </c>
      <c r="J195" s="40"/>
      <c r="K195" s="41">
        <f t="shared" si="61"/>
        <v>0</v>
      </c>
      <c r="L195" s="40"/>
      <c r="M195" s="40">
        <f t="shared" si="62"/>
        <v>0</v>
      </c>
      <c r="N195" s="42"/>
      <c r="O195" s="43">
        <f t="shared" si="63"/>
        <v>0</v>
      </c>
      <c r="P195" s="42"/>
      <c r="Q195" s="42">
        <f t="shared" si="64"/>
        <v>0</v>
      </c>
      <c r="R195" s="44">
        <f t="shared" si="65"/>
        <v>0</v>
      </c>
      <c r="S195" s="45">
        <f t="shared" si="66"/>
        <v>0</v>
      </c>
      <c r="T195" s="44">
        <f t="shared" si="67"/>
        <v>0</v>
      </c>
      <c r="U195" s="46">
        <f t="shared" si="68"/>
        <v>0</v>
      </c>
      <c r="V195" s="47"/>
      <c r="W195" s="48">
        <f t="shared" si="69"/>
        <v>0</v>
      </c>
      <c r="X195" s="49"/>
      <c r="Y195" s="50">
        <f t="shared" si="70"/>
        <v>0</v>
      </c>
      <c r="Z195" s="51"/>
      <c r="AA195" s="52">
        <f t="shared" si="71"/>
        <v>0</v>
      </c>
      <c r="AB195" s="36"/>
      <c r="AC195" s="36"/>
      <c r="AD195" s="29">
        <f t="shared" si="72"/>
        <v>0</v>
      </c>
    </row>
    <row r="196" spans="1:30" ht="15" customHeight="1" x14ac:dyDescent="0.25">
      <c r="A196" s="17">
        <f t="shared" si="55"/>
        <v>46292</v>
      </c>
      <c r="B196" s="18">
        <f t="shared" si="56"/>
        <v>1</v>
      </c>
      <c r="C196" s="18" t="str">
        <f t="shared" si="57"/>
        <v>Sep 2026</v>
      </c>
      <c r="D196" s="37">
        <v>46292</v>
      </c>
      <c r="E196" s="17" t="str">
        <f t="shared" si="58"/>
        <v>Sunday</v>
      </c>
      <c r="F196" s="38"/>
      <c r="G196" s="39">
        <f t="shared" si="59"/>
        <v>0</v>
      </c>
      <c r="H196" s="38"/>
      <c r="I196" s="38">
        <f t="shared" si="60"/>
        <v>0</v>
      </c>
      <c r="J196" s="40"/>
      <c r="K196" s="41">
        <f t="shared" si="61"/>
        <v>0</v>
      </c>
      <c r="L196" s="40"/>
      <c r="M196" s="40">
        <f t="shared" si="62"/>
        <v>0</v>
      </c>
      <c r="N196" s="42"/>
      <c r="O196" s="43">
        <f t="shared" si="63"/>
        <v>0</v>
      </c>
      <c r="P196" s="42"/>
      <c r="Q196" s="42">
        <f t="shared" si="64"/>
        <v>0</v>
      </c>
      <c r="R196" s="44">
        <f t="shared" si="65"/>
        <v>0</v>
      </c>
      <c r="S196" s="45">
        <f t="shared" si="66"/>
        <v>0</v>
      </c>
      <c r="T196" s="44">
        <f t="shared" si="67"/>
        <v>0</v>
      </c>
      <c r="U196" s="46">
        <f t="shared" si="68"/>
        <v>0</v>
      </c>
      <c r="V196" s="47"/>
      <c r="W196" s="48">
        <f t="shared" si="69"/>
        <v>0</v>
      </c>
      <c r="X196" s="49"/>
      <c r="Y196" s="50">
        <f t="shared" si="70"/>
        <v>0</v>
      </c>
      <c r="Z196" s="51"/>
      <c r="AA196" s="52">
        <f t="shared" si="71"/>
        <v>0</v>
      </c>
      <c r="AB196" s="36"/>
      <c r="AC196" s="36"/>
      <c r="AD196" s="29">
        <f t="shared" si="72"/>
        <v>0</v>
      </c>
    </row>
    <row r="197" spans="1:30" ht="15" customHeight="1" x14ac:dyDescent="0.25">
      <c r="A197" s="17">
        <f t="shared" si="55"/>
        <v>46292</v>
      </c>
      <c r="B197" s="18">
        <f t="shared" si="56"/>
        <v>2</v>
      </c>
      <c r="C197" s="18" t="str">
        <f t="shared" si="57"/>
        <v>Sep 2026</v>
      </c>
      <c r="D197" s="37">
        <v>46293</v>
      </c>
      <c r="E197" s="17" t="str">
        <f t="shared" si="58"/>
        <v>Monday</v>
      </c>
      <c r="F197" s="38"/>
      <c r="G197" s="39">
        <f t="shared" si="59"/>
        <v>0</v>
      </c>
      <c r="H197" s="38"/>
      <c r="I197" s="38">
        <f t="shared" si="60"/>
        <v>0</v>
      </c>
      <c r="J197" s="40"/>
      <c r="K197" s="41">
        <f t="shared" si="61"/>
        <v>0</v>
      </c>
      <c r="L197" s="40"/>
      <c r="M197" s="40">
        <f t="shared" si="62"/>
        <v>0</v>
      </c>
      <c r="N197" s="42"/>
      <c r="O197" s="43">
        <f t="shared" si="63"/>
        <v>0</v>
      </c>
      <c r="P197" s="42"/>
      <c r="Q197" s="42">
        <f t="shared" si="64"/>
        <v>0</v>
      </c>
      <c r="R197" s="44">
        <f t="shared" si="65"/>
        <v>0</v>
      </c>
      <c r="S197" s="45">
        <f t="shared" si="66"/>
        <v>0</v>
      </c>
      <c r="T197" s="44">
        <f t="shared" si="67"/>
        <v>0</v>
      </c>
      <c r="U197" s="46">
        <f t="shared" si="68"/>
        <v>0</v>
      </c>
      <c r="V197" s="47"/>
      <c r="W197" s="48">
        <f t="shared" si="69"/>
        <v>0</v>
      </c>
      <c r="X197" s="49"/>
      <c r="Y197" s="50">
        <f t="shared" si="70"/>
        <v>0</v>
      </c>
      <c r="Z197" s="51"/>
      <c r="AA197" s="52">
        <f t="shared" si="71"/>
        <v>0</v>
      </c>
      <c r="AB197" s="36"/>
      <c r="AC197" s="36"/>
      <c r="AD197" s="29">
        <f t="shared" si="72"/>
        <v>0</v>
      </c>
    </row>
    <row r="198" spans="1:30" ht="15" customHeight="1" x14ac:dyDescent="0.25">
      <c r="A198" s="17">
        <f t="shared" si="55"/>
        <v>46292</v>
      </c>
      <c r="B198" s="18">
        <f t="shared" si="56"/>
        <v>3</v>
      </c>
      <c r="C198" s="18" t="str">
        <f t="shared" si="57"/>
        <v>Sep 2026</v>
      </c>
      <c r="D198" s="37">
        <v>46294</v>
      </c>
      <c r="E198" s="17" t="str">
        <f t="shared" si="58"/>
        <v>Tuesday</v>
      </c>
      <c r="F198" s="38"/>
      <c r="G198" s="39">
        <f t="shared" si="59"/>
        <v>0</v>
      </c>
      <c r="H198" s="38"/>
      <c r="I198" s="38">
        <f t="shared" si="60"/>
        <v>0</v>
      </c>
      <c r="J198" s="40"/>
      <c r="K198" s="41">
        <f t="shared" si="61"/>
        <v>0</v>
      </c>
      <c r="L198" s="40"/>
      <c r="M198" s="40">
        <f t="shared" si="62"/>
        <v>0</v>
      </c>
      <c r="N198" s="42"/>
      <c r="O198" s="43">
        <f t="shared" si="63"/>
        <v>0</v>
      </c>
      <c r="P198" s="42"/>
      <c r="Q198" s="42">
        <f t="shared" si="64"/>
        <v>0</v>
      </c>
      <c r="R198" s="44">
        <f t="shared" si="65"/>
        <v>0</v>
      </c>
      <c r="S198" s="45">
        <f t="shared" si="66"/>
        <v>0</v>
      </c>
      <c r="T198" s="44">
        <f t="shared" si="67"/>
        <v>0</v>
      </c>
      <c r="U198" s="46">
        <f t="shared" si="68"/>
        <v>0</v>
      </c>
      <c r="V198" s="47"/>
      <c r="W198" s="48">
        <f t="shared" si="69"/>
        <v>0</v>
      </c>
      <c r="X198" s="49"/>
      <c r="Y198" s="50">
        <f t="shared" si="70"/>
        <v>0</v>
      </c>
      <c r="Z198" s="51"/>
      <c r="AA198" s="52">
        <f t="shared" si="71"/>
        <v>0</v>
      </c>
      <c r="AB198" s="36"/>
      <c r="AC198" s="36"/>
      <c r="AD198" s="29">
        <f t="shared" si="72"/>
        <v>0</v>
      </c>
    </row>
    <row r="199" spans="1:30" ht="15" customHeight="1" x14ac:dyDescent="0.25">
      <c r="A199" s="17">
        <f t="shared" si="55"/>
        <v>46292</v>
      </c>
      <c r="B199" s="18">
        <f t="shared" si="56"/>
        <v>4</v>
      </c>
      <c r="C199" s="18" t="str">
        <f t="shared" si="57"/>
        <v>Sep 2026</v>
      </c>
      <c r="D199" s="37">
        <v>46295</v>
      </c>
      <c r="E199" s="17" t="str">
        <f t="shared" si="58"/>
        <v>Wednesday</v>
      </c>
      <c r="F199" s="38"/>
      <c r="G199" s="39">
        <f t="shared" si="59"/>
        <v>0</v>
      </c>
      <c r="H199" s="38"/>
      <c r="I199" s="38">
        <f t="shared" si="60"/>
        <v>0</v>
      </c>
      <c r="J199" s="40"/>
      <c r="K199" s="41">
        <f t="shared" si="61"/>
        <v>0</v>
      </c>
      <c r="L199" s="40"/>
      <c r="M199" s="40">
        <f t="shared" si="62"/>
        <v>0</v>
      </c>
      <c r="N199" s="42"/>
      <c r="O199" s="43">
        <f t="shared" si="63"/>
        <v>0</v>
      </c>
      <c r="P199" s="42"/>
      <c r="Q199" s="42">
        <f t="shared" si="64"/>
        <v>0</v>
      </c>
      <c r="R199" s="44">
        <f t="shared" si="65"/>
        <v>0</v>
      </c>
      <c r="S199" s="45">
        <f t="shared" si="66"/>
        <v>0</v>
      </c>
      <c r="T199" s="44">
        <f t="shared" si="67"/>
        <v>0</v>
      </c>
      <c r="U199" s="46">
        <f t="shared" si="68"/>
        <v>0</v>
      </c>
      <c r="V199" s="47"/>
      <c r="W199" s="48">
        <f t="shared" si="69"/>
        <v>0</v>
      </c>
      <c r="X199" s="49"/>
      <c r="Y199" s="50">
        <f t="shared" si="70"/>
        <v>0</v>
      </c>
      <c r="Z199" s="51"/>
      <c r="AA199" s="52">
        <f t="shared" si="71"/>
        <v>0</v>
      </c>
      <c r="AB199" s="36"/>
      <c r="AC199" s="36"/>
      <c r="AD199" s="29">
        <f t="shared" si="72"/>
        <v>0</v>
      </c>
    </row>
    <row r="200" spans="1:30" ht="15" customHeight="1" x14ac:dyDescent="0.25">
      <c r="A200" s="17">
        <f t="shared" si="55"/>
        <v>46292</v>
      </c>
      <c r="B200" s="18">
        <f t="shared" si="56"/>
        <v>5</v>
      </c>
      <c r="C200" s="18" t="str">
        <f t="shared" si="57"/>
        <v>Oct 2026</v>
      </c>
      <c r="D200" s="37">
        <v>46296</v>
      </c>
      <c r="E200" s="17" t="str">
        <f t="shared" si="58"/>
        <v>Thursday</v>
      </c>
      <c r="F200" s="38"/>
      <c r="G200" s="39">
        <f t="shared" si="59"/>
        <v>0</v>
      </c>
      <c r="H200" s="38"/>
      <c r="I200" s="38">
        <f t="shared" si="60"/>
        <v>0</v>
      </c>
      <c r="J200" s="40"/>
      <c r="K200" s="41">
        <f t="shared" si="61"/>
        <v>0</v>
      </c>
      <c r="L200" s="40"/>
      <c r="M200" s="40">
        <f t="shared" si="62"/>
        <v>0</v>
      </c>
      <c r="N200" s="42"/>
      <c r="O200" s="43">
        <f t="shared" si="63"/>
        <v>0</v>
      </c>
      <c r="P200" s="42"/>
      <c r="Q200" s="42">
        <f t="shared" si="64"/>
        <v>0</v>
      </c>
      <c r="R200" s="44">
        <f t="shared" si="65"/>
        <v>0</v>
      </c>
      <c r="S200" s="45">
        <f t="shared" si="66"/>
        <v>0</v>
      </c>
      <c r="T200" s="44">
        <f t="shared" si="67"/>
        <v>0</v>
      </c>
      <c r="U200" s="46">
        <f t="shared" si="68"/>
        <v>0</v>
      </c>
      <c r="V200" s="47"/>
      <c r="W200" s="48">
        <f t="shared" si="69"/>
        <v>0</v>
      </c>
      <c r="X200" s="49"/>
      <c r="Y200" s="50">
        <f t="shared" si="70"/>
        <v>0</v>
      </c>
      <c r="Z200" s="51"/>
      <c r="AA200" s="52">
        <f t="shared" si="71"/>
        <v>0</v>
      </c>
      <c r="AB200" s="36"/>
      <c r="AC200" s="36"/>
      <c r="AD200" s="29">
        <f t="shared" si="72"/>
        <v>0</v>
      </c>
    </row>
    <row r="201" spans="1:30" ht="15" customHeight="1" x14ac:dyDescent="0.25">
      <c r="A201" s="17">
        <f t="shared" si="55"/>
        <v>46292</v>
      </c>
      <c r="B201" s="18">
        <f t="shared" si="56"/>
        <v>6</v>
      </c>
      <c r="C201" s="18" t="str">
        <f t="shared" si="57"/>
        <v>Oct 2026</v>
      </c>
      <c r="D201" s="37">
        <v>46297</v>
      </c>
      <c r="E201" s="17" t="str">
        <f t="shared" si="58"/>
        <v>Friday</v>
      </c>
      <c r="F201" s="38"/>
      <c r="G201" s="39">
        <f t="shared" si="59"/>
        <v>0</v>
      </c>
      <c r="H201" s="38"/>
      <c r="I201" s="38">
        <f t="shared" si="60"/>
        <v>0</v>
      </c>
      <c r="J201" s="40"/>
      <c r="K201" s="41">
        <f t="shared" si="61"/>
        <v>0</v>
      </c>
      <c r="L201" s="40"/>
      <c r="M201" s="40">
        <f t="shared" si="62"/>
        <v>0</v>
      </c>
      <c r="N201" s="42"/>
      <c r="O201" s="43">
        <f t="shared" si="63"/>
        <v>0</v>
      </c>
      <c r="P201" s="42"/>
      <c r="Q201" s="42">
        <f t="shared" si="64"/>
        <v>0</v>
      </c>
      <c r="R201" s="44">
        <f t="shared" si="65"/>
        <v>0</v>
      </c>
      <c r="S201" s="45">
        <f t="shared" si="66"/>
        <v>0</v>
      </c>
      <c r="T201" s="44">
        <f t="shared" si="67"/>
        <v>0</v>
      </c>
      <c r="U201" s="46">
        <f t="shared" si="68"/>
        <v>0</v>
      </c>
      <c r="V201" s="47"/>
      <c r="W201" s="48">
        <f t="shared" si="69"/>
        <v>0</v>
      </c>
      <c r="X201" s="49"/>
      <c r="Y201" s="50">
        <f t="shared" si="70"/>
        <v>0</v>
      </c>
      <c r="Z201" s="51"/>
      <c r="AA201" s="52">
        <f t="shared" si="71"/>
        <v>0</v>
      </c>
      <c r="AB201" s="36"/>
      <c r="AC201" s="36"/>
      <c r="AD201" s="29">
        <f t="shared" si="72"/>
        <v>0</v>
      </c>
    </row>
    <row r="202" spans="1:30" ht="15" customHeight="1" x14ac:dyDescent="0.25">
      <c r="A202" s="17">
        <f t="shared" si="55"/>
        <v>46292</v>
      </c>
      <c r="B202" s="18">
        <f t="shared" si="56"/>
        <v>7</v>
      </c>
      <c r="C202" s="18" t="str">
        <f t="shared" si="57"/>
        <v>Oct 2026</v>
      </c>
      <c r="D202" s="37">
        <v>46298</v>
      </c>
      <c r="E202" s="17" t="str">
        <f t="shared" si="58"/>
        <v>Saturday</v>
      </c>
      <c r="F202" s="38"/>
      <c r="G202" s="39">
        <f t="shared" si="59"/>
        <v>0</v>
      </c>
      <c r="H202" s="38"/>
      <c r="I202" s="38">
        <f t="shared" si="60"/>
        <v>0</v>
      </c>
      <c r="J202" s="40"/>
      <c r="K202" s="41">
        <f t="shared" si="61"/>
        <v>0</v>
      </c>
      <c r="L202" s="40"/>
      <c r="M202" s="40">
        <f t="shared" si="62"/>
        <v>0</v>
      </c>
      <c r="N202" s="42"/>
      <c r="O202" s="43">
        <f t="shared" si="63"/>
        <v>0</v>
      </c>
      <c r="P202" s="42"/>
      <c r="Q202" s="42">
        <f t="shared" si="64"/>
        <v>0</v>
      </c>
      <c r="R202" s="44">
        <f t="shared" si="65"/>
        <v>0</v>
      </c>
      <c r="S202" s="45">
        <f t="shared" si="66"/>
        <v>0</v>
      </c>
      <c r="T202" s="44">
        <f t="shared" si="67"/>
        <v>0</v>
      </c>
      <c r="U202" s="46">
        <f t="shared" si="68"/>
        <v>0</v>
      </c>
      <c r="V202" s="47"/>
      <c r="W202" s="48">
        <f t="shared" si="69"/>
        <v>0</v>
      </c>
      <c r="X202" s="49"/>
      <c r="Y202" s="50">
        <f t="shared" si="70"/>
        <v>0</v>
      </c>
      <c r="Z202" s="51"/>
      <c r="AA202" s="52">
        <f t="shared" si="71"/>
        <v>0</v>
      </c>
      <c r="AB202" s="36"/>
      <c r="AC202" s="36"/>
      <c r="AD202" s="29">
        <f t="shared" si="72"/>
        <v>0</v>
      </c>
    </row>
    <row r="203" spans="1:30" ht="15" customHeight="1" x14ac:dyDescent="0.25">
      <c r="A203" s="17">
        <f t="shared" si="55"/>
        <v>46299</v>
      </c>
      <c r="B203" s="18">
        <f t="shared" si="56"/>
        <v>1</v>
      </c>
      <c r="C203" s="18" t="str">
        <f t="shared" si="57"/>
        <v>Oct 2026</v>
      </c>
      <c r="D203" s="37">
        <v>46299</v>
      </c>
      <c r="E203" s="17" t="str">
        <f t="shared" si="58"/>
        <v>Sunday</v>
      </c>
      <c r="F203" s="38"/>
      <c r="G203" s="39">
        <f t="shared" si="59"/>
        <v>0</v>
      </c>
      <c r="H203" s="38"/>
      <c r="I203" s="38">
        <f t="shared" si="60"/>
        <v>0</v>
      </c>
      <c r="J203" s="40"/>
      <c r="K203" s="41">
        <f t="shared" si="61"/>
        <v>0</v>
      </c>
      <c r="L203" s="40"/>
      <c r="M203" s="40">
        <f t="shared" si="62"/>
        <v>0</v>
      </c>
      <c r="N203" s="42"/>
      <c r="O203" s="43">
        <f t="shared" si="63"/>
        <v>0</v>
      </c>
      <c r="P203" s="42"/>
      <c r="Q203" s="42">
        <f t="shared" si="64"/>
        <v>0</v>
      </c>
      <c r="R203" s="44">
        <f t="shared" si="65"/>
        <v>0</v>
      </c>
      <c r="S203" s="45">
        <f t="shared" si="66"/>
        <v>0</v>
      </c>
      <c r="T203" s="44">
        <f t="shared" si="67"/>
        <v>0</v>
      </c>
      <c r="U203" s="46">
        <f t="shared" si="68"/>
        <v>0</v>
      </c>
      <c r="V203" s="47"/>
      <c r="W203" s="48">
        <f t="shared" si="69"/>
        <v>0</v>
      </c>
      <c r="X203" s="49"/>
      <c r="Y203" s="50">
        <f t="shared" si="70"/>
        <v>0</v>
      </c>
      <c r="Z203" s="51"/>
      <c r="AA203" s="52">
        <f t="shared" si="71"/>
        <v>0</v>
      </c>
      <c r="AB203" s="36"/>
      <c r="AC203" s="36"/>
      <c r="AD203" s="29">
        <f t="shared" si="72"/>
        <v>0</v>
      </c>
    </row>
    <row r="204" spans="1:30" ht="15" customHeight="1" x14ac:dyDescent="0.25">
      <c r="A204" s="17">
        <f t="shared" si="55"/>
        <v>46299</v>
      </c>
      <c r="B204" s="18">
        <f t="shared" si="56"/>
        <v>2</v>
      </c>
      <c r="C204" s="18" t="str">
        <f t="shared" si="57"/>
        <v>Oct 2026</v>
      </c>
      <c r="D204" s="37">
        <v>46300</v>
      </c>
      <c r="E204" s="17" t="str">
        <f t="shared" si="58"/>
        <v>Monday</v>
      </c>
      <c r="F204" s="38"/>
      <c r="G204" s="39">
        <f t="shared" si="59"/>
        <v>0</v>
      </c>
      <c r="H204" s="38"/>
      <c r="I204" s="38">
        <f t="shared" si="60"/>
        <v>0</v>
      </c>
      <c r="J204" s="40"/>
      <c r="K204" s="41">
        <f t="shared" si="61"/>
        <v>0</v>
      </c>
      <c r="L204" s="40"/>
      <c r="M204" s="40">
        <f t="shared" si="62"/>
        <v>0</v>
      </c>
      <c r="N204" s="42"/>
      <c r="O204" s="43">
        <f t="shared" si="63"/>
        <v>0</v>
      </c>
      <c r="P204" s="42"/>
      <c r="Q204" s="42">
        <f t="shared" si="64"/>
        <v>0</v>
      </c>
      <c r="R204" s="44">
        <f t="shared" si="65"/>
        <v>0</v>
      </c>
      <c r="S204" s="45">
        <f t="shared" si="66"/>
        <v>0</v>
      </c>
      <c r="T204" s="44">
        <f t="shared" si="67"/>
        <v>0</v>
      </c>
      <c r="U204" s="46">
        <f t="shared" si="68"/>
        <v>0</v>
      </c>
      <c r="V204" s="47"/>
      <c r="W204" s="48">
        <f t="shared" si="69"/>
        <v>0</v>
      </c>
      <c r="X204" s="49"/>
      <c r="Y204" s="50">
        <f t="shared" si="70"/>
        <v>0</v>
      </c>
      <c r="Z204" s="51"/>
      <c r="AA204" s="52">
        <f t="shared" si="71"/>
        <v>0</v>
      </c>
      <c r="AB204" s="36"/>
      <c r="AC204" s="36"/>
      <c r="AD204" s="29">
        <f t="shared" si="72"/>
        <v>0</v>
      </c>
    </row>
    <row r="205" spans="1:30" ht="15" customHeight="1" x14ac:dyDescent="0.25">
      <c r="A205" s="17">
        <f t="shared" si="55"/>
        <v>46299</v>
      </c>
      <c r="B205" s="18">
        <f t="shared" si="56"/>
        <v>3</v>
      </c>
      <c r="C205" s="18" t="str">
        <f t="shared" si="57"/>
        <v>Oct 2026</v>
      </c>
      <c r="D205" s="37">
        <v>46301</v>
      </c>
      <c r="E205" s="17" t="str">
        <f t="shared" si="58"/>
        <v>Tuesday</v>
      </c>
      <c r="F205" s="38"/>
      <c r="G205" s="39">
        <f t="shared" si="59"/>
        <v>0</v>
      </c>
      <c r="H205" s="38"/>
      <c r="I205" s="38">
        <f t="shared" si="60"/>
        <v>0</v>
      </c>
      <c r="J205" s="40"/>
      <c r="K205" s="41">
        <f t="shared" si="61"/>
        <v>0</v>
      </c>
      <c r="L205" s="40"/>
      <c r="M205" s="40">
        <f t="shared" si="62"/>
        <v>0</v>
      </c>
      <c r="N205" s="42"/>
      <c r="O205" s="43">
        <f t="shared" si="63"/>
        <v>0</v>
      </c>
      <c r="P205" s="42"/>
      <c r="Q205" s="42">
        <f t="shared" si="64"/>
        <v>0</v>
      </c>
      <c r="R205" s="44">
        <f t="shared" si="65"/>
        <v>0</v>
      </c>
      <c r="S205" s="45">
        <f t="shared" si="66"/>
        <v>0</v>
      </c>
      <c r="T205" s="44">
        <f t="shared" si="67"/>
        <v>0</v>
      </c>
      <c r="U205" s="46">
        <f t="shared" si="68"/>
        <v>0</v>
      </c>
      <c r="V205" s="47"/>
      <c r="W205" s="48">
        <f t="shared" si="69"/>
        <v>0</v>
      </c>
      <c r="X205" s="49"/>
      <c r="Y205" s="50">
        <f t="shared" si="70"/>
        <v>0</v>
      </c>
      <c r="Z205" s="51"/>
      <c r="AA205" s="52">
        <f t="shared" si="71"/>
        <v>0</v>
      </c>
      <c r="AB205" s="36"/>
      <c r="AC205" s="36"/>
      <c r="AD205" s="29">
        <f t="shared" si="72"/>
        <v>0</v>
      </c>
    </row>
    <row r="206" spans="1:30" ht="15" customHeight="1" x14ac:dyDescent="0.25">
      <c r="A206" s="17">
        <f t="shared" si="55"/>
        <v>46299</v>
      </c>
      <c r="B206" s="18">
        <f t="shared" si="56"/>
        <v>4</v>
      </c>
      <c r="C206" s="18" t="str">
        <f t="shared" si="57"/>
        <v>Oct 2026</v>
      </c>
      <c r="D206" s="37">
        <v>46302</v>
      </c>
      <c r="E206" s="17" t="str">
        <f t="shared" si="58"/>
        <v>Wednesday</v>
      </c>
      <c r="F206" s="38"/>
      <c r="G206" s="39">
        <f t="shared" si="59"/>
        <v>0</v>
      </c>
      <c r="H206" s="38"/>
      <c r="I206" s="38">
        <f t="shared" si="60"/>
        <v>0</v>
      </c>
      <c r="J206" s="40"/>
      <c r="K206" s="41">
        <f t="shared" si="61"/>
        <v>0</v>
      </c>
      <c r="L206" s="40"/>
      <c r="M206" s="40">
        <f t="shared" si="62"/>
        <v>0</v>
      </c>
      <c r="N206" s="42"/>
      <c r="O206" s="43">
        <f t="shared" si="63"/>
        <v>0</v>
      </c>
      <c r="P206" s="42"/>
      <c r="Q206" s="42">
        <f t="shared" si="64"/>
        <v>0</v>
      </c>
      <c r="R206" s="44">
        <f t="shared" si="65"/>
        <v>0</v>
      </c>
      <c r="S206" s="45">
        <f t="shared" si="66"/>
        <v>0</v>
      </c>
      <c r="T206" s="44">
        <f t="shared" si="67"/>
        <v>0</v>
      </c>
      <c r="U206" s="46">
        <f t="shared" si="68"/>
        <v>0</v>
      </c>
      <c r="V206" s="47"/>
      <c r="W206" s="48">
        <f t="shared" si="69"/>
        <v>0</v>
      </c>
      <c r="X206" s="49"/>
      <c r="Y206" s="50">
        <f t="shared" si="70"/>
        <v>0</v>
      </c>
      <c r="Z206" s="51"/>
      <c r="AA206" s="52">
        <f t="shared" si="71"/>
        <v>0</v>
      </c>
      <c r="AB206" s="36"/>
      <c r="AC206" s="36"/>
      <c r="AD206" s="29">
        <f t="shared" si="72"/>
        <v>0</v>
      </c>
    </row>
    <row r="207" spans="1:30" ht="15" customHeight="1" x14ac:dyDescent="0.25">
      <c r="A207" s="17">
        <f t="shared" si="55"/>
        <v>46299</v>
      </c>
      <c r="B207" s="18">
        <f t="shared" si="56"/>
        <v>5</v>
      </c>
      <c r="C207" s="18" t="str">
        <f t="shared" si="57"/>
        <v>Oct 2026</v>
      </c>
      <c r="D207" s="37">
        <v>46303</v>
      </c>
      <c r="E207" s="17" t="str">
        <f t="shared" si="58"/>
        <v>Thursday</v>
      </c>
      <c r="F207" s="38"/>
      <c r="G207" s="39">
        <f t="shared" si="59"/>
        <v>0</v>
      </c>
      <c r="H207" s="38"/>
      <c r="I207" s="38">
        <f t="shared" si="60"/>
        <v>0</v>
      </c>
      <c r="J207" s="40"/>
      <c r="K207" s="41">
        <f t="shared" si="61"/>
        <v>0</v>
      </c>
      <c r="L207" s="40"/>
      <c r="M207" s="40">
        <f t="shared" si="62"/>
        <v>0</v>
      </c>
      <c r="N207" s="42"/>
      <c r="O207" s="43">
        <f t="shared" si="63"/>
        <v>0</v>
      </c>
      <c r="P207" s="42"/>
      <c r="Q207" s="42">
        <f t="shared" si="64"/>
        <v>0</v>
      </c>
      <c r="R207" s="44">
        <f t="shared" si="65"/>
        <v>0</v>
      </c>
      <c r="S207" s="45">
        <f t="shared" si="66"/>
        <v>0</v>
      </c>
      <c r="T207" s="44">
        <f t="shared" si="67"/>
        <v>0</v>
      </c>
      <c r="U207" s="46">
        <f t="shared" si="68"/>
        <v>0</v>
      </c>
      <c r="V207" s="47"/>
      <c r="W207" s="48">
        <f t="shared" si="69"/>
        <v>0</v>
      </c>
      <c r="X207" s="49"/>
      <c r="Y207" s="50">
        <f t="shared" si="70"/>
        <v>0</v>
      </c>
      <c r="Z207" s="51"/>
      <c r="AA207" s="52">
        <f t="shared" si="71"/>
        <v>0</v>
      </c>
      <c r="AB207" s="36"/>
      <c r="AC207" s="36"/>
      <c r="AD207" s="29">
        <f t="shared" si="72"/>
        <v>0</v>
      </c>
    </row>
    <row r="208" spans="1:30" ht="15" customHeight="1" x14ac:dyDescent="0.25">
      <c r="A208" s="17">
        <f t="shared" si="55"/>
        <v>46299</v>
      </c>
      <c r="B208" s="18">
        <f t="shared" si="56"/>
        <v>6</v>
      </c>
      <c r="C208" s="18" t="str">
        <f t="shared" si="57"/>
        <v>Oct 2026</v>
      </c>
      <c r="D208" s="37">
        <v>46304</v>
      </c>
      <c r="E208" s="17" t="str">
        <f t="shared" si="58"/>
        <v>Friday</v>
      </c>
      <c r="F208" s="38"/>
      <c r="G208" s="39">
        <f t="shared" si="59"/>
        <v>0</v>
      </c>
      <c r="H208" s="38"/>
      <c r="I208" s="38">
        <f t="shared" si="60"/>
        <v>0</v>
      </c>
      <c r="J208" s="40"/>
      <c r="K208" s="41">
        <f t="shared" si="61"/>
        <v>0</v>
      </c>
      <c r="L208" s="40"/>
      <c r="M208" s="40">
        <f t="shared" si="62"/>
        <v>0</v>
      </c>
      <c r="N208" s="42"/>
      <c r="O208" s="43">
        <f t="shared" si="63"/>
        <v>0</v>
      </c>
      <c r="P208" s="42"/>
      <c r="Q208" s="42">
        <f t="shared" si="64"/>
        <v>0</v>
      </c>
      <c r="R208" s="44">
        <f t="shared" si="65"/>
        <v>0</v>
      </c>
      <c r="S208" s="45">
        <f t="shared" si="66"/>
        <v>0</v>
      </c>
      <c r="T208" s="44">
        <f t="shared" si="67"/>
        <v>0</v>
      </c>
      <c r="U208" s="46">
        <f t="shared" si="68"/>
        <v>0</v>
      </c>
      <c r="V208" s="47"/>
      <c r="W208" s="48">
        <f t="shared" si="69"/>
        <v>0</v>
      </c>
      <c r="X208" s="49"/>
      <c r="Y208" s="50">
        <f t="shared" si="70"/>
        <v>0</v>
      </c>
      <c r="Z208" s="51"/>
      <c r="AA208" s="52">
        <f t="shared" si="71"/>
        <v>0</v>
      </c>
      <c r="AB208" s="36"/>
      <c r="AC208" s="36"/>
      <c r="AD208" s="29">
        <f t="shared" si="72"/>
        <v>0</v>
      </c>
    </row>
    <row r="209" spans="1:30" ht="15" customHeight="1" x14ac:dyDescent="0.25">
      <c r="A209" s="17">
        <f t="shared" si="55"/>
        <v>46299</v>
      </c>
      <c r="B209" s="18">
        <f t="shared" si="56"/>
        <v>7</v>
      </c>
      <c r="C209" s="18" t="str">
        <f t="shared" si="57"/>
        <v>Oct 2026</v>
      </c>
      <c r="D209" s="37">
        <v>46305</v>
      </c>
      <c r="E209" s="17" t="str">
        <f t="shared" si="58"/>
        <v>Saturday</v>
      </c>
      <c r="F209" s="38"/>
      <c r="G209" s="39">
        <f t="shared" si="59"/>
        <v>0</v>
      </c>
      <c r="H209" s="38"/>
      <c r="I209" s="38">
        <f t="shared" si="60"/>
        <v>0</v>
      </c>
      <c r="J209" s="40"/>
      <c r="K209" s="41">
        <f t="shared" si="61"/>
        <v>0</v>
      </c>
      <c r="L209" s="40"/>
      <c r="M209" s="40">
        <f t="shared" si="62"/>
        <v>0</v>
      </c>
      <c r="N209" s="42"/>
      <c r="O209" s="43">
        <f t="shared" si="63"/>
        <v>0</v>
      </c>
      <c r="P209" s="42"/>
      <c r="Q209" s="42">
        <f t="shared" si="64"/>
        <v>0</v>
      </c>
      <c r="R209" s="44">
        <f t="shared" si="65"/>
        <v>0</v>
      </c>
      <c r="S209" s="45">
        <f t="shared" si="66"/>
        <v>0</v>
      </c>
      <c r="T209" s="44">
        <f t="shared" si="67"/>
        <v>0</v>
      </c>
      <c r="U209" s="46">
        <f t="shared" si="68"/>
        <v>0</v>
      </c>
      <c r="V209" s="47"/>
      <c r="W209" s="48">
        <f t="shared" si="69"/>
        <v>0</v>
      </c>
      <c r="X209" s="49"/>
      <c r="Y209" s="50">
        <f t="shared" si="70"/>
        <v>0</v>
      </c>
      <c r="Z209" s="51"/>
      <c r="AA209" s="52">
        <f t="shared" si="71"/>
        <v>0</v>
      </c>
      <c r="AB209" s="36"/>
      <c r="AC209" s="36"/>
      <c r="AD209" s="29">
        <f t="shared" si="72"/>
        <v>0</v>
      </c>
    </row>
    <row r="210" spans="1:30" ht="15" customHeight="1" x14ac:dyDescent="0.25">
      <c r="A210" s="17">
        <f t="shared" si="55"/>
        <v>46306</v>
      </c>
      <c r="B210" s="18">
        <f t="shared" si="56"/>
        <v>1</v>
      </c>
      <c r="C210" s="18" t="str">
        <f t="shared" si="57"/>
        <v>Oct 2026</v>
      </c>
      <c r="D210" s="37">
        <v>46306</v>
      </c>
      <c r="E210" s="17" t="str">
        <f t="shared" si="58"/>
        <v>Sunday</v>
      </c>
      <c r="F210" s="38"/>
      <c r="G210" s="39">
        <f t="shared" si="59"/>
        <v>0</v>
      </c>
      <c r="H210" s="38"/>
      <c r="I210" s="38">
        <f t="shared" si="60"/>
        <v>0</v>
      </c>
      <c r="J210" s="40"/>
      <c r="K210" s="41">
        <f t="shared" si="61"/>
        <v>0</v>
      </c>
      <c r="L210" s="40"/>
      <c r="M210" s="40">
        <f t="shared" si="62"/>
        <v>0</v>
      </c>
      <c r="N210" s="42"/>
      <c r="O210" s="43">
        <f t="shared" si="63"/>
        <v>0</v>
      </c>
      <c r="P210" s="42"/>
      <c r="Q210" s="42">
        <f t="shared" si="64"/>
        <v>0</v>
      </c>
      <c r="R210" s="44">
        <f t="shared" si="65"/>
        <v>0</v>
      </c>
      <c r="S210" s="45">
        <f t="shared" si="66"/>
        <v>0</v>
      </c>
      <c r="T210" s="44">
        <f t="shared" si="67"/>
        <v>0</v>
      </c>
      <c r="U210" s="46">
        <f t="shared" si="68"/>
        <v>0</v>
      </c>
      <c r="V210" s="47"/>
      <c r="W210" s="48">
        <f t="shared" si="69"/>
        <v>0</v>
      </c>
      <c r="X210" s="49"/>
      <c r="Y210" s="50">
        <f t="shared" si="70"/>
        <v>0</v>
      </c>
      <c r="Z210" s="51"/>
      <c r="AA210" s="52">
        <f t="shared" si="71"/>
        <v>0</v>
      </c>
      <c r="AB210" s="36"/>
      <c r="AC210" s="36"/>
      <c r="AD210" s="29">
        <f t="shared" si="72"/>
        <v>0</v>
      </c>
    </row>
    <row r="211" spans="1:30" ht="15" customHeight="1" x14ac:dyDescent="0.25">
      <c r="A211" s="17">
        <f t="shared" si="55"/>
        <v>46306</v>
      </c>
      <c r="B211" s="18">
        <f t="shared" si="56"/>
        <v>2</v>
      </c>
      <c r="C211" s="18" t="str">
        <f t="shared" si="57"/>
        <v>Oct 2026</v>
      </c>
      <c r="D211" s="37">
        <v>46307</v>
      </c>
      <c r="E211" s="17" t="str">
        <f t="shared" si="58"/>
        <v>Monday</v>
      </c>
      <c r="F211" s="38"/>
      <c r="G211" s="39">
        <f t="shared" si="59"/>
        <v>0</v>
      </c>
      <c r="H211" s="38"/>
      <c r="I211" s="38">
        <f t="shared" si="60"/>
        <v>0</v>
      </c>
      <c r="J211" s="40"/>
      <c r="K211" s="41">
        <f t="shared" si="61"/>
        <v>0</v>
      </c>
      <c r="L211" s="40"/>
      <c r="M211" s="40">
        <f t="shared" si="62"/>
        <v>0</v>
      </c>
      <c r="N211" s="42"/>
      <c r="O211" s="43">
        <f t="shared" si="63"/>
        <v>0</v>
      </c>
      <c r="P211" s="42"/>
      <c r="Q211" s="42">
        <f t="shared" si="64"/>
        <v>0</v>
      </c>
      <c r="R211" s="44">
        <f t="shared" si="65"/>
        <v>0</v>
      </c>
      <c r="S211" s="45">
        <f t="shared" si="66"/>
        <v>0</v>
      </c>
      <c r="T211" s="44">
        <f t="shared" si="67"/>
        <v>0</v>
      </c>
      <c r="U211" s="46">
        <f t="shared" si="68"/>
        <v>0</v>
      </c>
      <c r="V211" s="47"/>
      <c r="W211" s="48">
        <f t="shared" si="69"/>
        <v>0</v>
      </c>
      <c r="X211" s="49"/>
      <c r="Y211" s="50">
        <f t="shared" si="70"/>
        <v>0</v>
      </c>
      <c r="Z211" s="51"/>
      <c r="AA211" s="52">
        <f t="shared" si="71"/>
        <v>0</v>
      </c>
      <c r="AB211" s="36"/>
      <c r="AC211" s="36"/>
      <c r="AD211" s="29">
        <f t="shared" si="72"/>
        <v>0</v>
      </c>
    </row>
    <row r="212" spans="1:30" ht="15" customHeight="1" x14ac:dyDescent="0.25">
      <c r="A212" s="17">
        <f t="shared" si="55"/>
        <v>46306</v>
      </c>
      <c r="B212" s="18">
        <f t="shared" si="56"/>
        <v>3</v>
      </c>
      <c r="C212" s="18" t="str">
        <f t="shared" si="57"/>
        <v>Oct 2026</v>
      </c>
      <c r="D212" s="37">
        <v>46308</v>
      </c>
      <c r="E212" s="17" t="str">
        <f t="shared" si="58"/>
        <v>Tuesday</v>
      </c>
      <c r="F212" s="38"/>
      <c r="G212" s="39">
        <f t="shared" si="59"/>
        <v>0</v>
      </c>
      <c r="H212" s="38"/>
      <c r="I212" s="38">
        <f t="shared" si="60"/>
        <v>0</v>
      </c>
      <c r="J212" s="40"/>
      <c r="K212" s="41">
        <f t="shared" si="61"/>
        <v>0</v>
      </c>
      <c r="L212" s="40"/>
      <c r="M212" s="40">
        <f t="shared" si="62"/>
        <v>0</v>
      </c>
      <c r="N212" s="42"/>
      <c r="O212" s="43">
        <f t="shared" si="63"/>
        <v>0</v>
      </c>
      <c r="P212" s="42"/>
      <c r="Q212" s="42">
        <f t="shared" si="64"/>
        <v>0</v>
      </c>
      <c r="R212" s="44">
        <f t="shared" si="65"/>
        <v>0</v>
      </c>
      <c r="S212" s="45">
        <f t="shared" si="66"/>
        <v>0</v>
      </c>
      <c r="T212" s="44">
        <f t="shared" si="67"/>
        <v>0</v>
      </c>
      <c r="U212" s="46">
        <f t="shared" si="68"/>
        <v>0</v>
      </c>
      <c r="V212" s="47"/>
      <c r="W212" s="48">
        <f t="shared" si="69"/>
        <v>0</v>
      </c>
      <c r="X212" s="49"/>
      <c r="Y212" s="50">
        <f t="shared" si="70"/>
        <v>0</v>
      </c>
      <c r="Z212" s="51"/>
      <c r="AA212" s="52">
        <f t="shared" si="71"/>
        <v>0</v>
      </c>
      <c r="AB212" s="36"/>
      <c r="AC212" s="36"/>
      <c r="AD212" s="29">
        <f t="shared" si="72"/>
        <v>0</v>
      </c>
    </row>
    <row r="213" spans="1:30" ht="15" customHeight="1" x14ac:dyDescent="0.25">
      <c r="A213" s="17">
        <f t="shared" si="55"/>
        <v>46306</v>
      </c>
      <c r="B213" s="18">
        <f t="shared" si="56"/>
        <v>4</v>
      </c>
      <c r="C213" s="18" t="str">
        <f t="shared" si="57"/>
        <v>Oct 2026</v>
      </c>
      <c r="D213" s="37">
        <v>46309</v>
      </c>
      <c r="E213" s="17" t="str">
        <f t="shared" si="58"/>
        <v>Wednesday</v>
      </c>
      <c r="F213" s="38"/>
      <c r="G213" s="39">
        <f t="shared" si="59"/>
        <v>0</v>
      </c>
      <c r="H213" s="38"/>
      <c r="I213" s="38">
        <f t="shared" si="60"/>
        <v>0</v>
      </c>
      <c r="J213" s="40"/>
      <c r="K213" s="41">
        <f t="shared" si="61"/>
        <v>0</v>
      </c>
      <c r="L213" s="40"/>
      <c r="M213" s="40">
        <f t="shared" si="62"/>
        <v>0</v>
      </c>
      <c r="N213" s="42"/>
      <c r="O213" s="43">
        <f t="shared" si="63"/>
        <v>0</v>
      </c>
      <c r="P213" s="42"/>
      <c r="Q213" s="42">
        <f t="shared" si="64"/>
        <v>0</v>
      </c>
      <c r="R213" s="44">
        <f t="shared" si="65"/>
        <v>0</v>
      </c>
      <c r="S213" s="45">
        <f t="shared" si="66"/>
        <v>0</v>
      </c>
      <c r="T213" s="44">
        <f t="shared" si="67"/>
        <v>0</v>
      </c>
      <c r="U213" s="46">
        <f t="shared" si="68"/>
        <v>0</v>
      </c>
      <c r="V213" s="47"/>
      <c r="W213" s="48">
        <f t="shared" si="69"/>
        <v>0</v>
      </c>
      <c r="X213" s="49"/>
      <c r="Y213" s="50">
        <f t="shared" si="70"/>
        <v>0</v>
      </c>
      <c r="Z213" s="51"/>
      <c r="AA213" s="52">
        <f t="shared" si="71"/>
        <v>0</v>
      </c>
      <c r="AB213" s="36"/>
      <c r="AC213" s="36"/>
      <c r="AD213" s="29">
        <f t="shared" si="72"/>
        <v>0</v>
      </c>
    </row>
    <row r="214" spans="1:30" ht="15" customHeight="1" x14ac:dyDescent="0.25">
      <c r="A214" s="17">
        <f t="shared" si="55"/>
        <v>46306</v>
      </c>
      <c r="B214" s="18">
        <f t="shared" si="56"/>
        <v>5</v>
      </c>
      <c r="C214" s="18" t="str">
        <f t="shared" si="57"/>
        <v>Oct 2026</v>
      </c>
      <c r="D214" s="37">
        <v>46310</v>
      </c>
      <c r="E214" s="17" t="str">
        <f t="shared" si="58"/>
        <v>Thursday</v>
      </c>
      <c r="F214" s="38"/>
      <c r="G214" s="39">
        <f t="shared" si="59"/>
        <v>0</v>
      </c>
      <c r="H214" s="38"/>
      <c r="I214" s="38">
        <f t="shared" si="60"/>
        <v>0</v>
      </c>
      <c r="J214" s="40"/>
      <c r="K214" s="41">
        <f t="shared" si="61"/>
        <v>0</v>
      </c>
      <c r="L214" s="40"/>
      <c r="M214" s="40">
        <f t="shared" si="62"/>
        <v>0</v>
      </c>
      <c r="N214" s="42"/>
      <c r="O214" s="43">
        <f t="shared" si="63"/>
        <v>0</v>
      </c>
      <c r="P214" s="42"/>
      <c r="Q214" s="42">
        <f t="shared" si="64"/>
        <v>0</v>
      </c>
      <c r="R214" s="44">
        <f t="shared" si="65"/>
        <v>0</v>
      </c>
      <c r="S214" s="45">
        <f t="shared" si="66"/>
        <v>0</v>
      </c>
      <c r="T214" s="44">
        <f t="shared" si="67"/>
        <v>0</v>
      </c>
      <c r="U214" s="46">
        <f t="shared" si="68"/>
        <v>0</v>
      </c>
      <c r="V214" s="47"/>
      <c r="W214" s="48">
        <f t="shared" si="69"/>
        <v>0</v>
      </c>
      <c r="X214" s="49"/>
      <c r="Y214" s="50">
        <f t="shared" si="70"/>
        <v>0</v>
      </c>
      <c r="Z214" s="51"/>
      <c r="AA214" s="52">
        <f t="shared" si="71"/>
        <v>0</v>
      </c>
      <c r="AB214" s="36"/>
      <c r="AC214" s="36"/>
      <c r="AD214" s="29">
        <f t="shared" si="72"/>
        <v>0</v>
      </c>
    </row>
    <row r="215" spans="1:30" ht="15" customHeight="1" x14ac:dyDescent="0.25">
      <c r="A215" s="17">
        <f t="shared" si="55"/>
        <v>46306</v>
      </c>
      <c r="B215" s="18">
        <f t="shared" si="56"/>
        <v>6</v>
      </c>
      <c r="C215" s="18" t="str">
        <f t="shared" si="57"/>
        <v>Oct 2026</v>
      </c>
      <c r="D215" s="37">
        <v>46311</v>
      </c>
      <c r="E215" s="17" t="str">
        <f t="shared" si="58"/>
        <v>Friday</v>
      </c>
      <c r="F215" s="38"/>
      <c r="G215" s="39">
        <f t="shared" si="59"/>
        <v>0</v>
      </c>
      <c r="H215" s="38"/>
      <c r="I215" s="38">
        <f t="shared" si="60"/>
        <v>0</v>
      </c>
      <c r="J215" s="40"/>
      <c r="K215" s="41">
        <f t="shared" si="61"/>
        <v>0</v>
      </c>
      <c r="L215" s="40"/>
      <c r="M215" s="40">
        <f t="shared" si="62"/>
        <v>0</v>
      </c>
      <c r="N215" s="42"/>
      <c r="O215" s="43">
        <f t="shared" si="63"/>
        <v>0</v>
      </c>
      <c r="P215" s="42"/>
      <c r="Q215" s="42">
        <f t="shared" si="64"/>
        <v>0</v>
      </c>
      <c r="R215" s="44">
        <f t="shared" si="65"/>
        <v>0</v>
      </c>
      <c r="S215" s="45">
        <f t="shared" si="66"/>
        <v>0</v>
      </c>
      <c r="T215" s="44">
        <f t="shared" si="67"/>
        <v>0</v>
      </c>
      <c r="U215" s="46">
        <f t="shared" si="68"/>
        <v>0</v>
      </c>
      <c r="V215" s="47"/>
      <c r="W215" s="48">
        <f t="shared" si="69"/>
        <v>0</v>
      </c>
      <c r="X215" s="49"/>
      <c r="Y215" s="50">
        <f t="shared" si="70"/>
        <v>0</v>
      </c>
      <c r="Z215" s="51"/>
      <c r="AA215" s="52">
        <f t="shared" si="71"/>
        <v>0</v>
      </c>
      <c r="AB215" s="36"/>
      <c r="AC215" s="36"/>
      <c r="AD215" s="29">
        <f t="shared" si="72"/>
        <v>0</v>
      </c>
    </row>
    <row r="216" spans="1:30" ht="15" customHeight="1" x14ac:dyDescent="0.25">
      <c r="A216" s="17">
        <f t="shared" si="55"/>
        <v>46306</v>
      </c>
      <c r="B216" s="18">
        <f t="shared" si="56"/>
        <v>7</v>
      </c>
      <c r="C216" s="18" t="str">
        <f t="shared" si="57"/>
        <v>Oct 2026</v>
      </c>
      <c r="D216" s="37">
        <v>46312</v>
      </c>
      <c r="E216" s="17" t="str">
        <f t="shared" si="58"/>
        <v>Saturday</v>
      </c>
      <c r="F216" s="38"/>
      <c r="G216" s="39">
        <f t="shared" si="59"/>
        <v>0</v>
      </c>
      <c r="H216" s="38"/>
      <c r="I216" s="38">
        <f t="shared" si="60"/>
        <v>0</v>
      </c>
      <c r="J216" s="40"/>
      <c r="K216" s="41">
        <f t="shared" si="61"/>
        <v>0</v>
      </c>
      <c r="L216" s="40"/>
      <c r="M216" s="40">
        <f t="shared" si="62"/>
        <v>0</v>
      </c>
      <c r="N216" s="42"/>
      <c r="O216" s="43">
        <f t="shared" si="63"/>
        <v>0</v>
      </c>
      <c r="P216" s="42"/>
      <c r="Q216" s="42">
        <f t="shared" si="64"/>
        <v>0</v>
      </c>
      <c r="R216" s="44">
        <f t="shared" si="65"/>
        <v>0</v>
      </c>
      <c r="S216" s="45">
        <f t="shared" si="66"/>
        <v>0</v>
      </c>
      <c r="T216" s="44">
        <f t="shared" si="67"/>
        <v>0</v>
      </c>
      <c r="U216" s="46">
        <f t="shared" si="68"/>
        <v>0</v>
      </c>
      <c r="V216" s="47"/>
      <c r="W216" s="48">
        <f t="shared" si="69"/>
        <v>0</v>
      </c>
      <c r="X216" s="49"/>
      <c r="Y216" s="50">
        <f t="shared" si="70"/>
        <v>0</v>
      </c>
      <c r="Z216" s="51"/>
      <c r="AA216" s="52">
        <f t="shared" si="71"/>
        <v>0</v>
      </c>
      <c r="AB216" s="36"/>
      <c r="AC216" s="36"/>
      <c r="AD216" s="29">
        <f t="shared" si="72"/>
        <v>0</v>
      </c>
    </row>
    <row r="217" spans="1:30" ht="15" customHeight="1" x14ac:dyDescent="0.25">
      <c r="A217" s="17">
        <f t="shared" si="55"/>
        <v>46313</v>
      </c>
      <c r="B217" s="18">
        <f t="shared" si="56"/>
        <v>1</v>
      </c>
      <c r="C217" s="18" t="str">
        <f t="shared" si="57"/>
        <v>Oct 2026</v>
      </c>
      <c r="D217" s="37">
        <v>46313</v>
      </c>
      <c r="E217" s="17" t="str">
        <f t="shared" si="58"/>
        <v>Sunday</v>
      </c>
      <c r="F217" s="38"/>
      <c r="G217" s="39">
        <f t="shared" si="59"/>
        <v>0</v>
      </c>
      <c r="H217" s="38"/>
      <c r="I217" s="38">
        <f t="shared" si="60"/>
        <v>0</v>
      </c>
      <c r="J217" s="40"/>
      <c r="K217" s="41">
        <f t="shared" si="61"/>
        <v>0</v>
      </c>
      <c r="L217" s="40"/>
      <c r="M217" s="40">
        <f t="shared" si="62"/>
        <v>0</v>
      </c>
      <c r="N217" s="42"/>
      <c r="O217" s="43">
        <f t="shared" si="63"/>
        <v>0</v>
      </c>
      <c r="P217" s="42"/>
      <c r="Q217" s="42">
        <f t="shared" si="64"/>
        <v>0</v>
      </c>
      <c r="R217" s="44">
        <f t="shared" si="65"/>
        <v>0</v>
      </c>
      <c r="S217" s="45">
        <f t="shared" si="66"/>
        <v>0</v>
      </c>
      <c r="T217" s="44">
        <f t="shared" si="67"/>
        <v>0</v>
      </c>
      <c r="U217" s="46">
        <f t="shared" si="68"/>
        <v>0</v>
      </c>
      <c r="V217" s="47"/>
      <c r="W217" s="48">
        <f t="shared" si="69"/>
        <v>0</v>
      </c>
      <c r="X217" s="49"/>
      <c r="Y217" s="50">
        <f t="shared" si="70"/>
        <v>0</v>
      </c>
      <c r="Z217" s="51"/>
      <c r="AA217" s="52">
        <f t="shared" si="71"/>
        <v>0</v>
      </c>
      <c r="AB217" s="36"/>
      <c r="AC217" s="36"/>
      <c r="AD217" s="29">
        <f t="shared" si="72"/>
        <v>0</v>
      </c>
    </row>
    <row r="218" spans="1:30" ht="15" customHeight="1" x14ac:dyDescent="0.25">
      <c r="A218" s="17">
        <f t="shared" si="55"/>
        <v>46313</v>
      </c>
      <c r="B218" s="18">
        <f t="shared" si="56"/>
        <v>2</v>
      </c>
      <c r="C218" s="18" t="str">
        <f t="shared" si="57"/>
        <v>Oct 2026</v>
      </c>
      <c r="D218" s="37">
        <v>46314</v>
      </c>
      <c r="E218" s="17" t="str">
        <f t="shared" si="58"/>
        <v>Monday</v>
      </c>
      <c r="F218" s="38"/>
      <c r="G218" s="39">
        <f t="shared" si="59"/>
        <v>0</v>
      </c>
      <c r="H218" s="38"/>
      <c r="I218" s="38">
        <f t="shared" si="60"/>
        <v>0</v>
      </c>
      <c r="J218" s="40"/>
      <c r="K218" s="41">
        <f t="shared" si="61"/>
        <v>0</v>
      </c>
      <c r="L218" s="40"/>
      <c r="M218" s="40">
        <f t="shared" si="62"/>
        <v>0</v>
      </c>
      <c r="N218" s="42"/>
      <c r="O218" s="43">
        <f t="shared" si="63"/>
        <v>0</v>
      </c>
      <c r="P218" s="42"/>
      <c r="Q218" s="42">
        <f t="shared" si="64"/>
        <v>0</v>
      </c>
      <c r="R218" s="44">
        <f t="shared" si="65"/>
        <v>0</v>
      </c>
      <c r="S218" s="45">
        <f t="shared" si="66"/>
        <v>0</v>
      </c>
      <c r="T218" s="44">
        <f t="shared" si="67"/>
        <v>0</v>
      </c>
      <c r="U218" s="46">
        <f t="shared" si="68"/>
        <v>0</v>
      </c>
      <c r="V218" s="47"/>
      <c r="W218" s="48">
        <f t="shared" si="69"/>
        <v>0</v>
      </c>
      <c r="X218" s="49"/>
      <c r="Y218" s="50">
        <f t="shared" si="70"/>
        <v>0</v>
      </c>
      <c r="Z218" s="51"/>
      <c r="AA218" s="52">
        <f t="shared" si="71"/>
        <v>0</v>
      </c>
      <c r="AB218" s="36"/>
      <c r="AC218" s="36"/>
      <c r="AD218" s="29">
        <f t="shared" si="72"/>
        <v>0</v>
      </c>
    </row>
    <row r="219" spans="1:30" ht="15" customHeight="1" x14ac:dyDescent="0.25">
      <c r="A219" s="17">
        <f t="shared" si="55"/>
        <v>46313</v>
      </c>
      <c r="B219" s="18">
        <f t="shared" si="56"/>
        <v>3</v>
      </c>
      <c r="C219" s="18" t="str">
        <f t="shared" si="57"/>
        <v>Oct 2026</v>
      </c>
      <c r="D219" s="37">
        <v>46315</v>
      </c>
      <c r="E219" s="17" t="str">
        <f t="shared" si="58"/>
        <v>Tuesday</v>
      </c>
      <c r="F219" s="38"/>
      <c r="G219" s="39">
        <f t="shared" si="59"/>
        <v>0</v>
      </c>
      <c r="H219" s="38"/>
      <c r="I219" s="38">
        <f t="shared" si="60"/>
        <v>0</v>
      </c>
      <c r="J219" s="40"/>
      <c r="K219" s="41">
        <f t="shared" si="61"/>
        <v>0</v>
      </c>
      <c r="L219" s="40"/>
      <c r="M219" s="40">
        <f t="shared" si="62"/>
        <v>0</v>
      </c>
      <c r="N219" s="42"/>
      <c r="O219" s="43">
        <f t="shared" si="63"/>
        <v>0</v>
      </c>
      <c r="P219" s="42"/>
      <c r="Q219" s="42">
        <f t="shared" si="64"/>
        <v>0</v>
      </c>
      <c r="R219" s="44">
        <f t="shared" si="65"/>
        <v>0</v>
      </c>
      <c r="S219" s="45">
        <f t="shared" si="66"/>
        <v>0</v>
      </c>
      <c r="T219" s="44">
        <f t="shared" si="67"/>
        <v>0</v>
      </c>
      <c r="U219" s="46">
        <f t="shared" si="68"/>
        <v>0</v>
      </c>
      <c r="V219" s="47"/>
      <c r="W219" s="48">
        <f t="shared" si="69"/>
        <v>0</v>
      </c>
      <c r="X219" s="49"/>
      <c r="Y219" s="50">
        <f t="shared" si="70"/>
        <v>0</v>
      </c>
      <c r="Z219" s="51"/>
      <c r="AA219" s="52">
        <f t="shared" si="71"/>
        <v>0</v>
      </c>
      <c r="AB219" s="36"/>
      <c r="AC219" s="36"/>
      <c r="AD219" s="29">
        <f t="shared" si="72"/>
        <v>0</v>
      </c>
    </row>
    <row r="220" spans="1:30" ht="15" customHeight="1" x14ac:dyDescent="0.25">
      <c r="A220" s="17">
        <f t="shared" si="55"/>
        <v>46313</v>
      </c>
      <c r="B220" s="18">
        <f t="shared" si="56"/>
        <v>4</v>
      </c>
      <c r="C220" s="18" t="str">
        <f t="shared" si="57"/>
        <v>Oct 2026</v>
      </c>
      <c r="D220" s="37">
        <v>46316</v>
      </c>
      <c r="E220" s="17" t="str">
        <f t="shared" si="58"/>
        <v>Wednesday</v>
      </c>
      <c r="F220" s="38"/>
      <c r="G220" s="39">
        <f t="shared" si="59"/>
        <v>0</v>
      </c>
      <c r="H220" s="38"/>
      <c r="I220" s="38">
        <f t="shared" si="60"/>
        <v>0</v>
      </c>
      <c r="J220" s="40"/>
      <c r="K220" s="41">
        <f t="shared" si="61"/>
        <v>0</v>
      </c>
      <c r="L220" s="40"/>
      <c r="M220" s="40">
        <f t="shared" si="62"/>
        <v>0</v>
      </c>
      <c r="N220" s="42"/>
      <c r="O220" s="43">
        <f t="shared" si="63"/>
        <v>0</v>
      </c>
      <c r="P220" s="42"/>
      <c r="Q220" s="42">
        <f t="shared" si="64"/>
        <v>0</v>
      </c>
      <c r="R220" s="44">
        <f t="shared" si="65"/>
        <v>0</v>
      </c>
      <c r="S220" s="45">
        <f t="shared" si="66"/>
        <v>0</v>
      </c>
      <c r="T220" s="44">
        <f t="shared" si="67"/>
        <v>0</v>
      </c>
      <c r="U220" s="46">
        <f t="shared" si="68"/>
        <v>0</v>
      </c>
      <c r="V220" s="47"/>
      <c r="W220" s="48">
        <f t="shared" si="69"/>
        <v>0</v>
      </c>
      <c r="X220" s="49"/>
      <c r="Y220" s="50">
        <f t="shared" si="70"/>
        <v>0</v>
      </c>
      <c r="Z220" s="51"/>
      <c r="AA220" s="52">
        <f t="shared" si="71"/>
        <v>0</v>
      </c>
      <c r="AB220" s="36"/>
      <c r="AC220" s="36"/>
      <c r="AD220" s="29">
        <f t="shared" si="72"/>
        <v>0</v>
      </c>
    </row>
    <row r="221" spans="1:30" ht="15" customHeight="1" x14ac:dyDescent="0.25">
      <c r="A221" s="17">
        <f t="shared" si="55"/>
        <v>46313</v>
      </c>
      <c r="B221" s="18">
        <f t="shared" si="56"/>
        <v>5</v>
      </c>
      <c r="C221" s="18" t="str">
        <f t="shared" si="57"/>
        <v>Oct 2026</v>
      </c>
      <c r="D221" s="37">
        <v>46317</v>
      </c>
      <c r="E221" s="17" t="str">
        <f t="shared" si="58"/>
        <v>Thursday</v>
      </c>
      <c r="F221" s="38"/>
      <c r="G221" s="39">
        <f t="shared" si="59"/>
        <v>0</v>
      </c>
      <c r="H221" s="38"/>
      <c r="I221" s="38">
        <f t="shared" si="60"/>
        <v>0</v>
      </c>
      <c r="J221" s="40"/>
      <c r="K221" s="41">
        <f t="shared" si="61"/>
        <v>0</v>
      </c>
      <c r="L221" s="40"/>
      <c r="M221" s="40">
        <f t="shared" si="62"/>
        <v>0</v>
      </c>
      <c r="N221" s="42"/>
      <c r="O221" s="43">
        <f t="shared" si="63"/>
        <v>0</v>
      </c>
      <c r="P221" s="42"/>
      <c r="Q221" s="42">
        <f t="shared" si="64"/>
        <v>0</v>
      </c>
      <c r="R221" s="44">
        <f t="shared" si="65"/>
        <v>0</v>
      </c>
      <c r="S221" s="45">
        <f t="shared" si="66"/>
        <v>0</v>
      </c>
      <c r="T221" s="44">
        <f t="shared" si="67"/>
        <v>0</v>
      </c>
      <c r="U221" s="46">
        <f t="shared" si="68"/>
        <v>0</v>
      </c>
      <c r="V221" s="47"/>
      <c r="W221" s="48">
        <f t="shared" si="69"/>
        <v>0</v>
      </c>
      <c r="X221" s="49"/>
      <c r="Y221" s="50">
        <f t="shared" si="70"/>
        <v>0</v>
      </c>
      <c r="Z221" s="51"/>
      <c r="AA221" s="52">
        <f t="shared" si="71"/>
        <v>0</v>
      </c>
      <c r="AB221" s="36"/>
      <c r="AC221" s="36"/>
      <c r="AD221" s="29">
        <f t="shared" si="72"/>
        <v>0</v>
      </c>
    </row>
    <row r="222" spans="1:30" ht="15" customHeight="1" x14ac:dyDescent="0.25">
      <c r="A222" s="17">
        <f t="shared" si="55"/>
        <v>46313</v>
      </c>
      <c r="B222" s="18">
        <f t="shared" si="56"/>
        <v>6</v>
      </c>
      <c r="C222" s="18" t="str">
        <f t="shared" si="57"/>
        <v>Oct 2026</v>
      </c>
      <c r="D222" s="37">
        <v>46318</v>
      </c>
      <c r="E222" s="17" t="str">
        <f t="shared" si="58"/>
        <v>Friday</v>
      </c>
      <c r="F222" s="38"/>
      <c r="G222" s="39">
        <f t="shared" si="59"/>
        <v>0</v>
      </c>
      <c r="H222" s="38"/>
      <c r="I222" s="38">
        <f t="shared" si="60"/>
        <v>0</v>
      </c>
      <c r="J222" s="40"/>
      <c r="K222" s="41">
        <f t="shared" si="61"/>
        <v>0</v>
      </c>
      <c r="L222" s="40"/>
      <c r="M222" s="40">
        <f t="shared" si="62"/>
        <v>0</v>
      </c>
      <c r="N222" s="42"/>
      <c r="O222" s="43">
        <f t="shared" si="63"/>
        <v>0</v>
      </c>
      <c r="P222" s="42"/>
      <c r="Q222" s="42">
        <f t="shared" si="64"/>
        <v>0</v>
      </c>
      <c r="R222" s="44">
        <f t="shared" si="65"/>
        <v>0</v>
      </c>
      <c r="S222" s="45">
        <f t="shared" si="66"/>
        <v>0</v>
      </c>
      <c r="T222" s="44">
        <f t="shared" si="67"/>
        <v>0</v>
      </c>
      <c r="U222" s="46">
        <f t="shared" si="68"/>
        <v>0</v>
      </c>
      <c r="V222" s="47"/>
      <c r="W222" s="48">
        <f t="shared" si="69"/>
        <v>0</v>
      </c>
      <c r="X222" s="49"/>
      <c r="Y222" s="50">
        <f t="shared" si="70"/>
        <v>0</v>
      </c>
      <c r="Z222" s="51"/>
      <c r="AA222" s="52">
        <f t="shared" si="71"/>
        <v>0</v>
      </c>
      <c r="AB222" s="36"/>
      <c r="AC222" s="36"/>
      <c r="AD222" s="29">
        <f t="shared" si="72"/>
        <v>0</v>
      </c>
    </row>
    <row r="223" spans="1:30" ht="15" customHeight="1" x14ac:dyDescent="0.25">
      <c r="A223" s="17">
        <f t="shared" si="55"/>
        <v>46313</v>
      </c>
      <c r="B223" s="18">
        <f t="shared" si="56"/>
        <v>7</v>
      </c>
      <c r="C223" s="18" t="str">
        <f t="shared" si="57"/>
        <v>Oct 2026</v>
      </c>
      <c r="D223" s="37">
        <v>46319</v>
      </c>
      <c r="E223" s="17" t="str">
        <f t="shared" si="58"/>
        <v>Saturday</v>
      </c>
      <c r="F223" s="38"/>
      <c r="G223" s="39">
        <f t="shared" si="59"/>
        <v>0</v>
      </c>
      <c r="H223" s="38"/>
      <c r="I223" s="38">
        <f t="shared" si="60"/>
        <v>0</v>
      </c>
      <c r="J223" s="40"/>
      <c r="K223" s="41">
        <f t="shared" si="61"/>
        <v>0</v>
      </c>
      <c r="L223" s="40"/>
      <c r="M223" s="40">
        <f t="shared" si="62"/>
        <v>0</v>
      </c>
      <c r="N223" s="42"/>
      <c r="O223" s="43">
        <f t="shared" si="63"/>
        <v>0</v>
      </c>
      <c r="P223" s="42"/>
      <c r="Q223" s="42">
        <f t="shared" si="64"/>
        <v>0</v>
      </c>
      <c r="R223" s="44">
        <f t="shared" si="65"/>
        <v>0</v>
      </c>
      <c r="S223" s="45">
        <f t="shared" si="66"/>
        <v>0</v>
      </c>
      <c r="T223" s="44">
        <f t="shared" si="67"/>
        <v>0</v>
      </c>
      <c r="U223" s="46">
        <f t="shared" si="68"/>
        <v>0</v>
      </c>
      <c r="V223" s="47"/>
      <c r="W223" s="48">
        <f t="shared" si="69"/>
        <v>0</v>
      </c>
      <c r="X223" s="49"/>
      <c r="Y223" s="50">
        <f t="shared" si="70"/>
        <v>0</v>
      </c>
      <c r="Z223" s="51"/>
      <c r="AA223" s="52">
        <f t="shared" si="71"/>
        <v>0</v>
      </c>
      <c r="AB223" s="36"/>
      <c r="AC223" s="36"/>
      <c r="AD223" s="29">
        <f t="shared" si="72"/>
        <v>0</v>
      </c>
    </row>
    <row r="224" spans="1:30" ht="15" customHeight="1" x14ac:dyDescent="0.25">
      <c r="A224" s="17">
        <f t="shared" si="55"/>
        <v>46320</v>
      </c>
      <c r="B224" s="18">
        <f t="shared" si="56"/>
        <v>1</v>
      </c>
      <c r="C224" s="18" t="str">
        <f t="shared" si="57"/>
        <v>Oct 2026</v>
      </c>
      <c r="D224" s="37">
        <v>46320</v>
      </c>
      <c r="E224" s="17" t="str">
        <f t="shared" si="58"/>
        <v>Sunday</v>
      </c>
      <c r="F224" s="38"/>
      <c r="G224" s="39">
        <f t="shared" si="59"/>
        <v>0</v>
      </c>
      <c r="H224" s="38"/>
      <c r="I224" s="38">
        <f t="shared" si="60"/>
        <v>0</v>
      </c>
      <c r="J224" s="40"/>
      <c r="K224" s="41">
        <f t="shared" si="61"/>
        <v>0</v>
      </c>
      <c r="L224" s="40"/>
      <c r="M224" s="40">
        <f t="shared" si="62"/>
        <v>0</v>
      </c>
      <c r="N224" s="42"/>
      <c r="O224" s="43">
        <f t="shared" si="63"/>
        <v>0</v>
      </c>
      <c r="P224" s="42"/>
      <c r="Q224" s="42">
        <f t="shared" si="64"/>
        <v>0</v>
      </c>
      <c r="R224" s="44">
        <f t="shared" si="65"/>
        <v>0</v>
      </c>
      <c r="S224" s="45">
        <f t="shared" si="66"/>
        <v>0</v>
      </c>
      <c r="T224" s="44">
        <f t="shared" si="67"/>
        <v>0</v>
      </c>
      <c r="U224" s="46">
        <f t="shared" si="68"/>
        <v>0</v>
      </c>
      <c r="V224" s="47"/>
      <c r="W224" s="48">
        <f t="shared" si="69"/>
        <v>0</v>
      </c>
      <c r="X224" s="49"/>
      <c r="Y224" s="50">
        <f t="shared" si="70"/>
        <v>0</v>
      </c>
      <c r="Z224" s="51"/>
      <c r="AA224" s="52">
        <f t="shared" si="71"/>
        <v>0</v>
      </c>
      <c r="AB224" s="36"/>
      <c r="AC224" s="36"/>
      <c r="AD224" s="29">
        <f t="shared" si="72"/>
        <v>0</v>
      </c>
    </row>
    <row r="225" spans="1:30" ht="15" customHeight="1" x14ac:dyDescent="0.25">
      <c r="A225" s="17">
        <f t="shared" si="55"/>
        <v>46320</v>
      </c>
      <c r="B225" s="18">
        <f t="shared" si="56"/>
        <v>2</v>
      </c>
      <c r="C225" s="18" t="str">
        <f t="shared" si="57"/>
        <v>Oct 2026</v>
      </c>
      <c r="D225" s="37">
        <v>46321</v>
      </c>
      <c r="E225" s="17" t="str">
        <f t="shared" si="58"/>
        <v>Monday</v>
      </c>
      <c r="F225" s="38"/>
      <c r="G225" s="39">
        <f t="shared" si="59"/>
        <v>0</v>
      </c>
      <c r="H225" s="38"/>
      <c r="I225" s="38">
        <f t="shared" si="60"/>
        <v>0</v>
      </c>
      <c r="J225" s="40"/>
      <c r="K225" s="41">
        <f t="shared" si="61"/>
        <v>0</v>
      </c>
      <c r="L225" s="40"/>
      <c r="M225" s="40">
        <f t="shared" si="62"/>
        <v>0</v>
      </c>
      <c r="N225" s="42"/>
      <c r="O225" s="43">
        <f t="shared" si="63"/>
        <v>0</v>
      </c>
      <c r="P225" s="42"/>
      <c r="Q225" s="42">
        <f t="shared" si="64"/>
        <v>0</v>
      </c>
      <c r="R225" s="44">
        <f t="shared" si="65"/>
        <v>0</v>
      </c>
      <c r="S225" s="45">
        <f t="shared" si="66"/>
        <v>0</v>
      </c>
      <c r="T225" s="44">
        <f t="shared" si="67"/>
        <v>0</v>
      </c>
      <c r="U225" s="46">
        <f t="shared" si="68"/>
        <v>0</v>
      </c>
      <c r="V225" s="47"/>
      <c r="W225" s="48">
        <f t="shared" si="69"/>
        <v>0</v>
      </c>
      <c r="X225" s="49"/>
      <c r="Y225" s="50">
        <f t="shared" si="70"/>
        <v>0</v>
      </c>
      <c r="Z225" s="51"/>
      <c r="AA225" s="52">
        <f t="shared" si="71"/>
        <v>0</v>
      </c>
      <c r="AB225" s="36"/>
      <c r="AC225" s="36"/>
      <c r="AD225" s="29">
        <f t="shared" si="72"/>
        <v>0</v>
      </c>
    </row>
    <row r="226" spans="1:30" ht="15" customHeight="1" x14ac:dyDescent="0.25">
      <c r="A226" s="17">
        <f t="shared" si="55"/>
        <v>46320</v>
      </c>
      <c r="B226" s="18">
        <f t="shared" si="56"/>
        <v>3</v>
      </c>
      <c r="C226" s="18" t="str">
        <f t="shared" si="57"/>
        <v>Oct 2026</v>
      </c>
      <c r="D226" s="37">
        <v>46322</v>
      </c>
      <c r="E226" s="17" t="str">
        <f t="shared" si="58"/>
        <v>Tuesday</v>
      </c>
      <c r="F226" s="38"/>
      <c r="G226" s="39">
        <f t="shared" si="59"/>
        <v>0</v>
      </c>
      <c r="H226" s="38"/>
      <c r="I226" s="38">
        <f t="shared" si="60"/>
        <v>0</v>
      </c>
      <c r="J226" s="40"/>
      <c r="K226" s="41">
        <f t="shared" si="61"/>
        <v>0</v>
      </c>
      <c r="L226" s="40"/>
      <c r="M226" s="40">
        <f t="shared" si="62"/>
        <v>0</v>
      </c>
      <c r="N226" s="42"/>
      <c r="O226" s="43">
        <f t="shared" si="63"/>
        <v>0</v>
      </c>
      <c r="P226" s="42"/>
      <c r="Q226" s="42">
        <f t="shared" si="64"/>
        <v>0</v>
      </c>
      <c r="R226" s="44">
        <f t="shared" si="65"/>
        <v>0</v>
      </c>
      <c r="S226" s="45">
        <f t="shared" si="66"/>
        <v>0</v>
      </c>
      <c r="T226" s="44">
        <f t="shared" si="67"/>
        <v>0</v>
      </c>
      <c r="U226" s="46">
        <f t="shared" si="68"/>
        <v>0</v>
      </c>
      <c r="V226" s="47"/>
      <c r="W226" s="48">
        <f t="shared" si="69"/>
        <v>0</v>
      </c>
      <c r="X226" s="49"/>
      <c r="Y226" s="50">
        <f t="shared" si="70"/>
        <v>0</v>
      </c>
      <c r="Z226" s="51"/>
      <c r="AA226" s="52">
        <f t="shared" si="71"/>
        <v>0</v>
      </c>
      <c r="AB226" s="36"/>
      <c r="AC226" s="36"/>
      <c r="AD226" s="29">
        <f t="shared" si="72"/>
        <v>0</v>
      </c>
    </row>
    <row r="227" spans="1:30" ht="15" customHeight="1" x14ac:dyDescent="0.25">
      <c r="A227" s="17">
        <f t="shared" si="55"/>
        <v>46320</v>
      </c>
      <c r="B227" s="18">
        <f t="shared" si="56"/>
        <v>4</v>
      </c>
      <c r="C227" s="18" t="str">
        <f t="shared" si="57"/>
        <v>Oct 2026</v>
      </c>
      <c r="D227" s="37">
        <v>46323</v>
      </c>
      <c r="E227" s="17" t="str">
        <f t="shared" si="58"/>
        <v>Wednesday</v>
      </c>
      <c r="F227" s="38"/>
      <c r="G227" s="39">
        <f t="shared" si="59"/>
        <v>0</v>
      </c>
      <c r="H227" s="38"/>
      <c r="I227" s="38">
        <f t="shared" si="60"/>
        <v>0</v>
      </c>
      <c r="J227" s="40"/>
      <c r="K227" s="41">
        <f t="shared" si="61"/>
        <v>0</v>
      </c>
      <c r="L227" s="40"/>
      <c r="M227" s="40">
        <f t="shared" si="62"/>
        <v>0</v>
      </c>
      <c r="N227" s="42"/>
      <c r="O227" s="43">
        <f t="shared" si="63"/>
        <v>0</v>
      </c>
      <c r="P227" s="42"/>
      <c r="Q227" s="42">
        <f t="shared" si="64"/>
        <v>0</v>
      </c>
      <c r="R227" s="44">
        <f t="shared" si="65"/>
        <v>0</v>
      </c>
      <c r="S227" s="45">
        <f t="shared" si="66"/>
        <v>0</v>
      </c>
      <c r="T227" s="44">
        <f t="shared" si="67"/>
        <v>0</v>
      </c>
      <c r="U227" s="46">
        <f t="shared" si="68"/>
        <v>0</v>
      </c>
      <c r="V227" s="47"/>
      <c r="W227" s="48">
        <f t="shared" si="69"/>
        <v>0</v>
      </c>
      <c r="X227" s="49"/>
      <c r="Y227" s="50">
        <f t="shared" si="70"/>
        <v>0</v>
      </c>
      <c r="Z227" s="51"/>
      <c r="AA227" s="52">
        <f t="shared" si="71"/>
        <v>0</v>
      </c>
      <c r="AB227" s="36"/>
      <c r="AC227" s="36"/>
      <c r="AD227" s="29">
        <f t="shared" si="72"/>
        <v>0</v>
      </c>
    </row>
    <row r="228" spans="1:30" ht="15" customHeight="1" x14ac:dyDescent="0.25">
      <c r="A228" s="17">
        <f t="shared" si="55"/>
        <v>46320</v>
      </c>
      <c r="B228" s="18">
        <f t="shared" si="56"/>
        <v>5</v>
      </c>
      <c r="C228" s="18" t="str">
        <f t="shared" si="57"/>
        <v>Oct 2026</v>
      </c>
      <c r="D228" s="37">
        <v>46324</v>
      </c>
      <c r="E228" s="17" t="str">
        <f t="shared" si="58"/>
        <v>Thursday</v>
      </c>
      <c r="F228" s="38"/>
      <c r="G228" s="39">
        <f t="shared" si="59"/>
        <v>0</v>
      </c>
      <c r="H228" s="38"/>
      <c r="I228" s="38">
        <f t="shared" si="60"/>
        <v>0</v>
      </c>
      <c r="J228" s="40"/>
      <c r="K228" s="41">
        <f t="shared" si="61"/>
        <v>0</v>
      </c>
      <c r="L228" s="40"/>
      <c r="M228" s="40">
        <f t="shared" si="62"/>
        <v>0</v>
      </c>
      <c r="N228" s="42"/>
      <c r="O228" s="43">
        <f t="shared" si="63"/>
        <v>0</v>
      </c>
      <c r="P228" s="42"/>
      <c r="Q228" s="42">
        <f t="shared" si="64"/>
        <v>0</v>
      </c>
      <c r="R228" s="44">
        <f t="shared" si="65"/>
        <v>0</v>
      </c>
      <c r="S228" s="45">
        <f t="shared" si="66"/>
        <v>0</v>
      </c>
      <c r="T228" s="44">
        <f t="shared" si="67"/>
        <v>0</v>
      </c>
      <c r="U228" s="46">
        <f t="shared" si="68"/>
        <v>0</v>
      </c>
      <c r="V228" s="47"/>
      <c r="W228" s="48">
        <f t="shared" si="69"/>
        <v>0</v>
      </c>
      <c r="X228" s="49"/>
      <c r="Y228" s="50">
        <f t="shared" si="70"/>
        <v>0</v>
      </c>
      <c r="Z228" s="51"/>
      <c r="AA228" s="52">
        <f t="shared" si="71"/>
        <v>0</v>
      </c>
      <c r="AB228" s="36"/>
      <c r="AC228" s="36"/>
      <c r="AD228" s="29">
        <f t="shared" si="72"/>
        <v>0</v>
      </c>
    </row>
    <row r="229" spans="1:30" ht="15" customHeight="1" x14ac:dyDescent="0.25">
      <c r="A229" s="17">
        <f t="shared" si="55"/>
        <v>46320</v>
      </c>
      <c r="B229" s="18">
        <f t="shared" si="56"/>
        <v>6</v>
      </c>
      <c r="C229" s="18" t="str">
        <f t="shared" si="57"/>
        <v>Oct 2026</v>
      </c>
      <c r="D229" s="37">
        <v>46325</v>
      </c>
      <c r="E229" s="17" t="str">
        <f t="shared" si="58"/>
        <v>Friday</v>
      </c>
      <c r="F229" s="38"/>
      <c r="G229" s="39">
        <f t="shared" si="59"/>
        <v>0</v>
      </c>
      <c r="H229" s="38"/>
      <c r="I229" s="38">
        <f t="shared" si="60"/>
        <v>0</v>
      </c>
      <c r="J229" s="40"/>
      <c r="K229" s="41">
        <f t="shared" si="61"/>
        <v>0</v>
      </c>
      <c r="L229" s="40"/>
      <c r="M229" s="40">
        <f t="shared" si="62"/>
        <v>0</v>
      </c>
      <c r="N229" s="42"/>
      <c r="O229" s="43">
        <f t="shared" si="63"/>
        <v>0</v>
      </c>
      <c r="P229" s="42"/>
      <c r="Q229" s="42">
        <f t="shared" si="64"/>
        <v>0</v>
      </c>
      <c r="R229" s="44">
        <f t="shared" si="65"/>
        <v>0</v>
      </c>
      <c r="S229" s="45">
        <f t="shared" si="66"/>
        <v>0</v>
      </c>
      <c r="T229" s="44">
        <f t="shared" si="67"/>
        <v>0</v>
      </c>
      <c r="U229" s="46">
        <f t="shared" si="68"/>
        <v>0</v>
      </c>
      <c r="V229" s="47"/>
      <c r="W229" s="48">
        <f t="shared" si="69"/>
        <v>0</v>
      </c>
      <c r="X229" s="49"/>
      <c r="Y229" s="50">
        <f t="shared" si="70"/>
        <v>0</v>
      </c>
      <c r="Z229" s="51"/>
      <c r="AA229" s="52">
        <f t="shared" si="71"/>
        <v>0</v>
      </c>
      <c r="AB229" s="36"/>
      <c r="AC229" s="36"/>
      <c r="AD229" s="29">
        <f t="shared" si="72"/>
        <v>0</v>
      </c>
    </row>
    <row r="230" spans="1:30" ht="15" customHeight="1" x14ac:dyDescent="0.25">
      <c r="A230" s="17">
        <f t="shared" si="55"/>
        <v>46320</v>
      </c>
      <c r="B230" s="18">
        <f t="shared" si="56"/>
        <v>7</v>
      </c>
      <c r="C230" s="18" t="str">
        <f t="shared" si="57"/>
        <v>Oct 2026</v>
      </c>
      <c r="D230" s="37">
        <v>46326</v>
      </c>
      <c r="E230" s="17" t="str">
        <f t="shared" si="58"/>
        <v>Saturday</v>
      </c>
      <c r="F230" s="38"/>
      <c r="G230" s="39">
        <f t="shared" si="59"/>
        <v>0</v>
      </c>
      <c r="H230" s="38"/>
      <c r="I230" s="38">
        <f t="shared" si="60"/>
        <v>0</v>
      </c>
      <c r="J230" s="40"/>
      <c r="K230" s="41">
        <f t="shared" si="61"/>
        <v>0</v>
      </c>
      <c r="L230" s="40"/>
      <c r="M230" s="40">
        <f t="shared" si="62"/>
        <v>0</v>
      </c>
      <c r="N230" s="42"/>
      <c r="O230" s="43">
        <f t="shared" si="63"/>
        <v>0</v>
      </c>
      <c r="P230" s="42"/>
      <c r="Q230" s="42">
        <f t="shared" si="64"/>
        <v>0</v>
      </c>
      <c r="R230" s="44">
        <f t="shared" si="65"/>
        <v>0</v>
      </c>
      <c r="S230" s="45">
        <f t="shared" si="66"/>
        <v>0</v>
      </c>
      <c r="T230" s="44">
        <f t="shared" si="67"/>
        <v>0</v>
      </c>
      <c r="U230" s="46">
        <f t="shared" si="68"/>
        <v>0</v>
      </c>
      <c r="V230" s="47"/>
      <c r="W230" s="48">
        <f t="shared" si="69"/>
        <v>0</v>
      </c>
      <c r="X230" s="49"/>
      <c r="Y230" s="50">
        <f t="shared" si="70"/>
        <v>0</v>
      </c>
      <c r="Z230" s="51"/>
      <c r="AA230" s="52">
        <f t="shared" si="71"/>
        <v>0</v>
      </c>
      <c r="AB230" s="36"/>
      <c r="AC230" s="36"/>
      <c r="AD230" s="29">
        <f t="shared" si="72"/>
        <v>0</v>
      </c>
    </row>
    <row r="231" spans="1:30" ht="15" customHeight="1" x14ac:dyDescent="0.25">
      <c r="A231" s="17">
        <f t="shared" si="55"/>
        <v>46327</v>
      </c>
      <c r="B231" s="18">
        <f t="shared" si="56"/>
        <v>1</v>
      </c>
      <c r="C231" s="18" t="str">
        <f t="shared" si="57"/>
        <v>Nov 2026</v>
      </c>
      <c r="D231" s="37">
        <v>46327</v>
      </c>
      <c r="E231" s="17" t="str">
        <f t="shared" si="58"/>
        <v>Sunday</v>
      </c>
      <c r="F231" s="38"/>
      <c r="G231" s="39">
        <f t="shared" si="59"/>
        <v>0</v>
      </c>
      <c r="H231" s="38"/>
      <c r="I231" s="38">
        <f t="shared" si="60"/>
        <v>0</v>
      </c>
      <c r="J231" s="40"/>
      <c r="K231" s="41">
        <f t="shared" si="61"/>
        <v>0</v>
      </c>
      <c r="L231" s="40"/>
      <c r="M231" s="40">
        <f t="shared" si="62"/>
        <v>0</v>
      </c>
      <c r="N231" s="42"/>
      <c r="O231" s="43">
        <f t="shared" si="63"/>
        <v>0</v>
      </c>
      <c r="P231" s="42"/>
      <c r="Q231" s="42">
        <f t="shared" si="64"/>
        <v>0</v>
      </c>
      <c r="R231" s="44">
        <f t="shared" si="65"/>
        <v>0</v>
      </c>
      <c r="S231" s="45">
        <f t="shared" si="66"/>
        <v>0</v>
      </c>
      <c r="T231" s="44">
        <f t="shared" si="67"/>
        <v>0</v>
      </c>
      <c r="U231" s="46">
        <f t="shared" si="68"/>
        <v>0</v>
      </c>
      <c r="V231" s="47"/>
      <c r="W231" s="48">
        <f t="shared" si="69"/>
        <v>0</v>
      </c>
      <c r="X231" s="49"/>
      <c r="Y231" s="50">
        <f t="shared" si="70"/>
        <v>0</v>
      </c>
      <c r="Z231" s="51"/>
      <c r="AA231" s="52">
        <f t="shared" si="71"/>
        <v>0</v>
      </c>
      <c r="AB231" s="36"/>
      <c r="AC231" s="36"/>
      <c r="AD231" s="29">
        <f t="shared" si="72"/>
        <v>0</v>
      </c>
    </row>
    <row r="232" spans="1:30" ht="15" customHeight="1" x14ac:dyDescent="0.25">
      <c r="A232" s="17">
        <f t="shared" si="55"/>
        <v>46327</v>
      </c>
      <c r="B232" s="18">
        <f t="shared" si="56"/>
        <v>2</v>
      </c>
      <c r="C232" s="18" t="str">
        <f t="shared" si="57"/>
        <v>Nov 2026</v>
      </c>
      <c r="D232" s="37">
        <v>46328</v>
      </c>
      <c r="E232" s="17" t="str">
        <f t="shared" si="58"/>
        <v>Monday</v>
      </c>
      <c r="F232" s="38"/>
      <c r="G232" s="39">
        <f t="shared" si="59"/>
        <v>0</v>
      </c>
      <c r="H232" s="38"/>
      <c r="I232" s="38">
        <f t="shared" si="60"/>
        <v>0</v>
      </c>
      <c r="J232" s="40"/>
      <c r="K232" s="41">
        <f t="shared" si="61"/>
        <v>0</v>
      </c>
      <c r="L232" s="40"/>
      <c r="M232" s="40">
        <f t="shared" si="62"/>
        <v>0</v>
      </c>
      <c r="N232" s="42"/>
      <c r="O232" s="43">
        <f t="shared" si="63"/>
        <v>0</v>
      </c>
      <c r="P232" s="42"/>
      <c r="Q232" s="42">
        <f t="shared" si="64"/>
        <v>0</v>
      </c>
      <c r="R232" s="44">
        <f t="shared" si="65"/>
        <v>0</v>
      </c>
      <c r="S232" s="45">
        <f t="shared" si="66"/>
        <v>0</v>
      </c>
      <c r="T232" s="44">
        <f t="shared" si="67"/>
        <v>0</v>
      </c>
      <c r="U232" s="46">
        <f t="shared" si="68"/>
        <v>0</v>
      </c>
      <c r="V232" s="47"/>
      <c r="W232" s="48">
        <f t="shared" si="69"/>
        <v>0</v>
      </c>
      <c r="X232" s="49"/>
      <c r="Y232" s="50">
        <f t="shared" si="70"/>
        <v>0</v>
      </c>
      <c r="Z232" s="51"/>
      <c r="AA232" s="52">
        <f t="shared" si="71"/>
        <v>0</v>
      </c>
      <c r="AB232" s="36"/>
      <c r="AC232" s="36"/>
      <c r="AD232" s="29">
        <f t="shared" si="72"/>
        <v>0</v>
      </c>
    </row>
    <row r="233" spans="1:30" ht="15" customHeight="1" x14ac:dyDescent="0.25">
      <c r="A233" s="17">
        <f t="shared" si="55"/>
        <v>46327</v>
      </c>
      <c r="B233" s="18">
        <f t="shared" si="56"/>
        <v>3</v>
      </c>
      <c r="C233" s="18" t="str">
        <f t="shared" si="57"/>
        <v>Nov 2026</v>
      </c>
      <c r="D233" s="37">
        <v>46329</v>
      </c>
      <c r="E233" s="17" t="str">
        <f t="shared" si="58"/>
        <v>Tuesday</v>
      </c>
      <c r="F233" s="38"/>
      <c r="G233" s="39">
        <f t="shared" si="59"/>
        <v>0</v>
      </c>
      <c r="H233" s="38"/>
      <c r="I233" s="38">
        <f t="shared" si="60"/>
        <v>0</v>
      </c>
      <c r="J233" s="40"/>
      <c r="K233" s="41">
        <f t="shared" si="61"/>
        <v>0</v>
      </c>
      <c r="L233" s="40"/>
      <c r="M233" s="40">
        <f t="shared" si="62"/>
        <v>0</v>
      </c>
      <c r="N233" s="42"/>
      <c r="O233" s="43">
        <f t="shared" si="63"/>
        <v>0</v>
      </c>
      <c r="P233" s="42"/>
      <c r="Q233" s="42">
        <f t="shared" si="64"/>
        <v>0</v>
      </c>
      <c r="R233" s="44">
        <f t="shared" si="65"/>
        <v>0</v>
      </c>
      <c r="S233" s="45">
        <f t="shared" si="66"/>
        <v>0</v>
      </c>
      <c r="T233" s="44">
        <f t="shared" si="67"/>
        <v>0</v>
      </c>
      <c r="U233" s="46">
        <f t="shared" si="68"/>
        <v>0</v>
      </c>
      <c r="V233" s="47"/>
      <c r="W233" s="48">
        <f t="shared" si="69"/>
        <v>0</v>
      </c>
      <c r="X233" s="49"/>
      <c r="Y233" s="50">
        <f t="shared" si="70"/>
        <v>0</v>
      </c>
      <c r="Z233" s="51"/>
      <c r="AA233" s="52">
        <f t="shared" si="71"/>
        <v>0</v>
      </c>
      <c r="AB233" s="36"/>
      <c r="AC233" s="36"/>
      <c r="AD233" s="29">
        <f t="shared" si="72"/>
        <v>0</v>
      </c>
    </row>
    <row r="234" spans="1:30" ht="15" customHeight="1" x14ac:dyDescent="0.25">
      <c r="A234" s="17">
        <f t="shared" si="55"/>
        <v>46327</v>
      </c>
      <c r="B234" s="18">
        <f t="shared" si="56"/>
        <v>4</v>
      </c>
      <c r="C234" s="18" t="str">
        <f t="shared" si="57"/>
        <v>Nov 2026</v>
      </c>
      <c r="D234" s="37">
        <v>46330</v>
      </c>
      <c r="E234" s="17" t="str">
        <f t="shared" si="58"/>
        <v>Wednesday</v>
      </c>
      <c r="F234" s="38"/>
      <c r="G234" s="39">
        <f t="shared" si="59"/>
        <v>0</v>
      </c>
      <c r="H234" s="38"/>
      <c r="I234" s="38">
        <f t="shared" si="60"/>
        <v>0</v>
      </c>
      <c r="J234" s="40"/>
      <c r="K234" s="41">
        <f t="shared" si="61"/>
        <v>0</v>
      </c>
      <c r="L234" s="40"/>
      <c r="M234" s="40">
        <f t="shared" si="62"/>
        <v>0</v>
      </c>
      <c r="N234" s="42"/>
      <c r="O234" s="43">
        <f t="shared" si="63"/>
        <v>0</v>
      </c>
      <c r="P234" s="42"/>
      <c r="Q234" s="42">
        <f t="shared" si="64"/>
        <v>0</v>
      </c>
      <c r="R234" s="44">
        <f t="shared" si="65"/>
        <v>0</v>
      </c>
      <c r="S234" s="45">
        <f t="shared" si="66"/>
        <v>0</v>
      </c>
      <c r="T234" s="44">
        <f t="shared" si="67"/>
        <v>0</v>
      </c>
      <c r="U234" s="46">
        <f t="shared" si="68"/>
        <v>0</v>
      </c>
      <c r="V234" s="47"/>
      <c r="W234" s="48">
        <f t="shared" si="69"/>
        <v>0</v>
      </c>
      <c r="X234" s="49"/>
      <c r="Y234" s="50">
        <f t="shared" si="70"/>
        <v>0</v>
      </c>
      <c r="Z234" s="51"/>
      <c r="AA234" s="52">
        <f t="shared" si="71"/>
        <v>0</v>
      </c>
      <c r="AB234" s="36"/>
      <c r="AC234" s="36"/>
      <c r="AD234" s="29">
        <f t="shared" si="72"/>
        <v>0</v>
      </c>
    </row>
    <row r="235" spans="1:30" ht="15" customHeight="1" x14ac:dyDescent="0.25">
      <c r="A235" s="17">
        <f t="shared" si="55"/>
        <v>46327</v>
      </c>
      <c r="B235" s="18">
        <f t="shared" si="56"/>
        <v>5</v>
      </c>
      <c r="C235" s="18" t="str">
        <f t="shared" si="57"/>
        <v>Nov 2026</v>
      </c>
      <c r="D235" s="37">
        <v>46331</v>
      </c>
      <c r="E235" s="17" t="str">
        <f t="shared" si="58"/>
        <v>Thursday</v>
      </c>
      <c r="F235" s="38"/>
      <c r="G235" s="39">
        <f t="shared" si="59"/>
        <v>0</v>
      </c>
      <c r="H235" s="38"/>
      <c r="I235" s="38">
        <f t="shared" si="60"/>
        <v>0</v>
      </c>
      <c r="J235" s="40"/>
      <c r="K235" s="41">
        <f t="shared" si="61"/>
        <v>0</v>
      </c>
      <c r="L235" s="40"/>
      <c r="M235" s="40">
        <f t="shared" si="62"/>
        <v>0</v>
      </c>
      <c r="N235" s="42"/>
      <c r="O235" s="43">
        <f t="shared" si="63"/>
        <v>0</v>
      </c>
      <c r="P235" s="42"/>
      <c r="Q235" s="42">
        <f t="shared" si="64"/>
        <v>0</v>
      </c>
      <c r="R235" s="44">
        <f t="shared" si="65"/>
        <v>0</v>
      </c>
      <c r="S235" s="45">
        <f t="shared" si="66"/>
        <v>0</v>
      </c>
      <c r="T235" s="44">
        <f t="shared" si="67"/>
        <v>0</v>
      </c>
      <c r="U235" s="46">
        <f t="shared" si="68"/>
        <v>0</v>
      </c>
      <c r="V235" s="47"/>
      <c r="W235" s="48">
        <f t="shared" si="69"/>
        <v>0</v>
      </c>
      <c r="X235" s="49"/>
      <c r="Y235" s="50">
        <f t="shared" si="70"/>
        <v>0</v>
      </c>
      <c r="Z235" s="51"/>
      <c r="AA235" s="52">
        <f t="shared" si="71"/>
        <v>0</v>
      </c>
      <c r="AB235" s="36"/>
      <c r="AC235" s="36"/>
      <c r="AD235" s="29">
        <f t="shared" si="72"/>
        <v>0</v>
      </c>
    </row>
    <row r="236" spans="1:30" ht="15" customHeight="1" x14ac:dyDescent="0.25">
      <c r="A236" s="17">
        <f t="shared" si="55"/>
        <v>46327</v>
      </c>
      <c r="B236" s="18">
        <f t="shared" si="56"/>
        <v>6</v>
      </c>
      <c r="C236" s="18" t="str">
        <f t="shared" si="57"/>
        <v>Nov 2026</v>
      </c>
      <c r="D236" s="37">
        <v>46332</v>
      </c>
      <c r="E236" s="17" t="str">
        <f t="shared" si="58"/>
        <v>Friday</v>
      </c>
      <c r="F236" s="38"/>
      <c r="G236" s="39">
        <f t="shared" si="59"/>
        <v>0</v>
      </c>
      <c r="H236" s="38"/>
      <c r="I236" s="38">
        <f t="shared" si="60"/>
        <v>0</v>
      </c>
      <c r="J236" s="40"/>
      <c r="K236" s="41">
        <f t="shared" si="61"/>
        <v>0</v>
      </c>
      <c r="L236" s="40"/>
      <c r="M236" s="40">
        <f t="shared" si="62"/>
        <v>0</v>
      </c>
      <c r="N236" s="42"/>
      <c r="O236" s="43">
        <f t="shared" si="63"/>
        <v>0</v>
      </c>
      <c r="P236" s="42"/>
      <c r="Q236" s="42">
        <f t="shared" si="64"/>
        <v>0</v>
      </c>
      <c r="R236" s="44">
        <f t="shared" si="65"/>
        <v>0</v>
      </c>
      <c r="S236" s="45">
        <f t="shared" si="66"/>
        <v>0</v>
      </c>
      <c r="T236" s="44">
        <f t="shared" si="67"/>
        <v>0</v>
      </c>
      <c r="U236" s="46">
        <f t="shared" si="68"/>
        <v>0</v>
      </c>
      <c r="V236" s="47"/>
      <c r="W236" s="48">
        <f t="shared" si="69"/>
        <v>0</v>
      </c>
      <c r="X236" s="49"/>
      <c r="Y236" s="50">
        <f t="shared" si="70"/>
        <v>0</v>
      </c>
      <c r="Z236" s="51"/>
      <c r="AA236" s="52">
        <f t="shared" si="71"/>
        <v>0</v>
      </c>
      <c r="AB236" s="36"/>
      <c r="AC236" s="36"/>
      <c r="AD236" s="29">
        <f t="shared" si="72"/>
        <v>0</v>
      </c>
    </row>
    <row r="237" spans="1:30" ht="15" customHeight="1" x14ac:dyDescent="0.25">
      <c r="A237" s="17">
        <f t="shared" si="55"/>
        <v>46327</v>
      </c>
      <c r="B237" s="18">
        <f t="shared" si="56"/>
        <v>7</v>
      </c>
      <c r="C237" s="18" t="str">
        <f t="shared" si="57"/>
        <v>Nov 2026</v>
      </c>
      <c r="D237" s="37">
        <v>46333</v>
      </c>
      <c r="E237" s="17" t="str">
        <f t="shared" si="58"/>
        <v>Saturday</v>
      </c>
      <c r="F237" s="38"/>
      <c r="G237" s="39">
        <f t="shared" si="59"/>
        <v>0</v>
      </c>
      <c r="H237" s="38"/>
      <c r="I237" s="38">
        <f t="shared" si="60"/>
        <v>0</v>
      </c>
      <c r="J237" s="40"/>
      <c r="K237" s="41">
        <f t="shared" si="61"/>
        <v>0</v>
      </c>
      <c r="L237" s="40"/>
      <c r="M237" s="40">
        <f t="shared" si="62"/>
        <v>0</v>
      </c>
      <c r="N237" s="42"/>
      <c r="O237" s="43">
        <f t="shared" si="63"/>
        <v>0</v>
      </c>
      <c r="P237" s="42"/>
      <c r="Q237" s="42">
        <f t="shared" si="64"/>
        <v>0</v>
      </c>
      <c r="R237" s="44">
        <f t="shared" si="65"/>
        <v>0</v>
      </c>
      <c r="S237" s="45">
        <f t="shared" si="66"/>
        <v>0</v>
      </c>
      <c r="T237" s="44">
        <f t="shared" si="67"/>
        <v>0</v>
      </c>
      <c r="U237" s="46">
        <f t="shared" si="68"/>
        <v>0</v>
      </c>
      <c r="V237" s="47"/>
      <c r="W237" s="48">
        <f t="shared" si="69"/>
        <v>0</v>
      </c>
      <c r="X237" s="49"/>
      <c r="Y237" s="50">
        <f t="shared" si="70"/>
        <v>0</v>
      </c>
      <c r="Z237" s="51"/>
      <c r="AA237" s="52">
        <f t="shared" si="71"/>
        <v>0</v>
      </c>
      <c r="AB237" s="36"/>
      <c r="AC237" s="36"/>
      <c r="AD237" s="29">
        <f t="shared" si="72"/>
        <v>0</v>
      </c>
    </row>
    <row r="238" spans="1:30" ht="15" customHeight="1" x14ac:dyDescent="0.25">
      <c r="A238" s="17">
        <f t="shared" si="55"/>
        <v>46334</v>
      </c>
      <c r="B238" s="18">
        <f t="shared" si="56"/>
        <v>1</v>
      </c>
      <c r="C238" s="18" t="str">
        <f t="shared" si="57"/>
        <v>Nov 2026</v>
      </c>
      <c r="D238" s="37">
        <v>46334</v>
      </c>
      <c r="E238" s="17" t="str">
        <f t="shared" si="58"/>
        <v>Sunday</v>
      </c>
      <c r="F238" s="38"/>
      <c r="G238" s="39">
        <f t="shared" si="59"/>
        <v>0</v>
      </c>
      <c r="H238" s="38"/>
      <c r="I238" s="38">
        <f t="shared" si="60"/>
        <v>0</v>
      </c>
      <c r="J238" s="40"/>
      <c r="K238" s="41">
        <f t="shared" si="61"/>
        <v>0</v>
      </c>
      <c r="L238" s="40"/>
      <c r="M238" s="40">
        <f t="shared" si="62"/>
        <v>0</v>
      </c>
      <c r="N238" s="42"/>
      <c r="O238" s="43">
        <f t="shared" si="63"/>
        <v>0</v>
      </c>
      <c r="P238" s="42"/>
      <c r="Q238" s="42">
        <f t="shared" si="64"/>
        <v>0</v>
      </c>
      <c r="R238" s="44">
        <f t="shared" si="65"/>
        <v>0</v>
      </c>
      <c r="S238" s="45">
        <f t="shared" si="66"/>
        <v>0</v>
      </c>
      <c r="T238" s="44">
        <f t="shared" si="67"/>
        <v>0</v>
      </c>
      <c r="U238" s="46">
        <f t="shared" si="68"/>
        <v>0</v>
      </c>
      <c r="V238" s="47"/>
      <c r="W238" s="48">
        <f t="shared" si="69"/>
        <v>0</v>
      </c>
      <c r="X238" s="49"/>
      <c r="Y238" s="50">
        <f t="shared" si="70"/>
        <v>0</v>
      </c>
      <c r="Z238" s="51"/>
      <c r="AA238" s="52">
        <f t="shared" si="71"/>
        <v>0</v>
      </c>
      <c r="AB238" s="36"/>
      <c r="AC238" s="36"/>
      <c r="AD238" s="29">
        <f t="shared" si="72"/>
        <v>0</v>
      </c>
    </row>
    <row r="239" spans="1:30" ht="15" customHeight="1" x14ac:dyDescent="0.25">
      <c r="A239" s="17">
        <f t="shared" si="55"/>
        <v>46334</v>
      </c>
      <c r="B239" s="18">
        <f t="shared" si="56"/>
        <v>2</v>
      </c>
      <c r="C239" s="18" t="str">
        <f t="shared" si="57"/>
        <v>Nov 2026</v>
      </c>
      <c r="D239" s="37">
        <v>46335</v>
      </c>
      <c r="E239" s="17" t="str">
        <f t="shared" si="58"/>
        <v>Monday</v>
      </c>
      <c r="F239" s="38"/>
      <c r="G239" s="39">
        <f t="shared" si="59"/>
        <v>0</v>
      </c>
      <c r="H239" s="38"/>
      <c r="I239" s="38">
        <f t="shared" si="60"/>
        <v>0</v>
      </c>
      <c r="J239" s="40"/>
      <c r="K239" s="41">
        <f t="shared" si="61"/>
        <v>0</v>
      </c>
      <c r="L239" s="40"/>
      <c r="M239" s="40">
        <f t="shared" si="62"/>
        <v>0</v>
      </c>
      <c r="N239" s="42"/>
      <c r="O239" s="43">
        <f t="shared" si="63"/>
        <v>0</v>
      </c>
      <c r="P239" s="42"/>
      <c r="Q239" s="42">
        <f t="shared" si="64"/>
        <v>0</v>
      </c>
      <c r="R239" s="44">
        <f t="shared" si="65"/>
        <v>0</v>
      </c>
      <c r="S239" s="45">
        <f t="shared" si="66"/>
        <v>0</v>
      </c>
      <c r="T239" s="44">
        <f t="shared" si="67"/>
        <v>0</v>
      </c>
      <c r="U239" s="46">
        <f t="shared" si="68"/>
        <v>0</v>
      </c>
      <c r="V239" s="47"/>
      <c r="W239" s="48">
        <f t="shared" si="69"/>
        <v>0</v>
      </c>
      <c r="X239" s="49"/>
      <c r="Y239" s="50">
        <f t="shared" si="70"/>
        <v>0</v>
      </c>
      <c r="Z239" s="51"/>
      <c r="AA239" s="52">
        <f t="shared" si="71"/>
        <v>0</v>
      </c>
      <c r="AB239" s="36"/>
      <c r="AC239" s="36"/>
      <c r="AD239" s="29">
        <f t="shared" si="72"/>
        <v>0</v>
      </c>
    </row>
    <row r="240" spans="1:30" ht="15" customHeight="1" x14ac:dyDescent="0.25">
      <c r="A240" s="17">
        <f t="shared" si="55"/>
        <v>46334</v>
      </c>
      <c r="B240" s="18">
        <f t="shared" si="56"/>
        <v>3</v>
      </c>
      <c r="C240" s="18" t="str">
        <f t="shared" si="57"/>
        <v>Nov 2026</v>
      </c>
      <c r="D240" s="37">
        <v>46336</v>
      </c>
      <c r="E240" s="17" t="str">
        <f t="shared" si="58"/>
        <v>Tuesday</v>
      </c>
      <c r="F240" s="38"/>
      <c r="G240" s="39">
        <f t="shared" si="59"/>
        <v>0</v>
      </c>
      <c r="H240" s="38"/>
      <c r="I240" s="38">
        <f t="shared" si="60"/>
        <v>0</v>
      </c>
      <c r="J240" s="40"/>
      <c r="K240" s="41">
        <f t="shared" si="61"/>
        <v>0</v>
      </c>
      <c r="L240" s="40"/>
      <c r="M240" s="40">
        <f t="shared" si="62"/>
        <v>0</v>
      </c>
      <c r="N240" s="42"/>
      <c r="O240" s="43">
        <f t="shared" si="63"/>
        <v>0</v>
      </c>
      <c r="P240" s="42"/>
      <c r="Q240" s="42">
        <f t="shared" si="64"/>
        <v>0</v>
      </c>
      <c r="R240" s="44">
        <f t="shared" si="65"/>
        <v>0</v>
      </c>
      <c r="S240" s="45">
        <f t="shared" si="66"/>
        <v>0</v>
      </c>
      <c r="T240" s="44">
        <f t="shared" si="67"/>
        <v>0</v>
      </c>
      <c r="U240" s="46">
        <f t="shared" si="68"/>
        <v>0</v>
      </c>
      <c r="V240" s="47"/>
      <c r="W240" s="48">
        <f t="shared" si="69"/>
        <v>0</v>
      </c>
      <c r="X240" s="49"/>
      <c r="Y240" s="50">
        <f t="shared" si="70"/>
        <v>0</v>
      </c>
      <c r="Z240" s="51"/>
      <c r="AA240" s="52">
        <f t="shared" si="71"/>
        <v>0</v>
      </c>
      <c r="AB240" s="36"/>
      <c r="AC240" s="36"/>
      <c r="AD240" s="29">
        <f t="shared" si="72"/>
        <v>0</v>
      </c>
    </row>
    <row r="241" spans="1:30" ht="15" customHeight="1" x14ac:dyDescent="0.25">
      <c r="A241" s="17">
        <f t="shared" si="55"/>
        <v>46334</v>
      </c>
      <c r="B241" s="18">
        <f t="shared" si="56"/>
        <v>4</v>
      </c>
      <c r="C241" s="18" t="str">
        <f t="shared" si="57"/>
        <v>Nov 2026</v>
      </c>
      <c r="D241" s="37">
        <v>46337</v>
      </c>
      <c r="E241" s="17" t="str">
        <f t="shared" si="58"/>
        <v>Wednesday</v>
      </c>
      <c r="F241" s="38"/>
      <c r="G241" s="39">
        <f t="shared" si="59"/>
        <v>0</v>
      </c>
      <c r="H241" s="38"/>
      <c r="I241" s="38">
        <f t="shared" si="60"/>
        <v>0</v>
      </c>
      <c r="J241" s="40"/>
      <c r="K241" s="41">
        <f t="shared" si="61"/>
        <v>0</v>
      </c>
      <c r="L241" s="40"/>
      <c r="M241" s="40">
        <f t="shared" si="62"/>
        <v>0</v>
      </c>
      <c r="N241" s="42"/>
      <c r="O241" s="43">
        <f t="shared" si="63"/>
        <v>0</v>
      </c>
      <c r="P241" s="42"/>
      <c r="Q241" s="42">
        <f t="shared" si="64"/>
        <v>0</v>
      </c>
      <c r="R241" s="44">
        <f t="shared" si="65"/>
        <v>0</v>
      </c>
      <c r="S241" s="45">
        <f t="shared" si="66"/>
        <v>0</v>
      </c>
      <c r="T241" s="44">
        <f t="shared" si="67"/>
        <v>0</v>
      </c>
      <c r="U241" s="46">
        <f t="shared" si="68"/>
        <v>0</v>
      </c>
      <c r="V241" s="47"/>
      <c r="W241" s="48">
        <f t="shared" si="69"/>
        <v>0</v>
      </c>
      <c r="X241" s="49"/>
      <c r="Y241" s="50">
        <f t="shared" si="70"/>
        <v>0</v>
      </c>
      <c r="Z241" s="51"/>
      <c r="AA241" s="52">
        <f t="shared" si="71"/>
        <v>0</v>
      </c>
      <c r="AB241" s="36"/>
      <c r="AC241" s="36"/>
      <c r="AD241" s="29">
        <f t="shared" si="72"/>
        <v>0</v>
      </c>
    </row>
    <row r="242" spans="1:30" ht="15" customHeight="1" x14ac:dyDescent="0.25">
      <c r="A242" s="17">
        <f t="shared" si="55"/>
        <v>46334</v>
      </c>
      <c r="B242" s="18">
        <f t="shared" si="56"/>
        <v>5</v>
      </c>
      <c r="C242" s="18" t="str">
        <f t="shared" si="57"/>
        <v>Nov 2026</v>
      </c>
      <c r="D242" s="37">
        <v>46338</v>
      </c>
      <c r="E242" s="17" t="str">
        <f t="shared" si="58"/>
        <v>Thursday</v>
      </c>
      <c r="F242" s="38"/>
      <c r="G242" s="39">
        <f t="shared" si="59"/>
        <v>0</v>
      </c>
      <c r="H242" s="38"/>
      <c r="I242" s="38">
        <f t="shared" si="60"/>
        <v>0</v>
      </c>
      <c r="J242" s="40"/>
      <c r="K242" s="41">
        <f t="shared" si="61"/>
        <v>0</v>
      </c>
      <c r="L242" s="40"/>
      <c r="M242" s="40">
        <f t="shared" si="62"/>
        <v>0</v>
      </c>
      <c r="N242" s="42"/>
      <c r="O242" s="43">
        <f t="shared" si="63"/>
        <v>0</v>
      </c>
      <c r="P242" s="42"/>
      <c r="Q242" s="42">
        <f t="shared" si="64"/>
        <v>0</v>
      </c>
      <c r="R242" s="44">
        <f t="shared" si="65"/>
        <v>0</v>
      </c>
      <c r="S242" s="45">
        <f t="shared" si="66"/>
        <v>0</v>
      </c>
      <c r="T242" s="44">
        <f t="shared" si="67"/>
        <v>0</v>
      </c>
      <c r="U242" s="46">
        <f t="shared" si="68"/>
        <v>0</v>
      </c>
      <c r="V242" s="47"/>
      <c r="W242" s="48">
        <f t="shared" si="69"/>
        <v>0</v>
      </c>
      <c r="X242" s="49"/>
      <c r="Y242" s="50">
        <f t="shared" si="70"/>
        <v>0</v>
      </c>
      <c r="Z242" s="51"/>
      <c r="AA242" s="52">
        <f t="shared" si="71"/>
        <v>0</v>
      </c>
      <c r="AB242" s="36"/>
      <c r="AC242" s="36"/>
      <c r="AD242" s="29">
        <f t="shared" si="72"/>
        <v>0</v>
      </c>
    </row>
    <row r="243" spans="1:30" ht="15" customHeight="1" x14ac:dyDescent="0.25">
      <c r="A243" s="17">
        <f t="shared" si="55"/>
        <v>46334</v>
      </c>
      <c r="B243" s="18">
        <f t="shared" si="56"/>
        <v>6</v>
      </c>
      <c r="C243" s="18" t="str">
        <f t="shared" si="57"/>
        <v>Nov 2026</v>
      </c>
      <c r="D243" s="37">
        <v>46339</v>
      </c>
      <c r="E243" s="17" t="str">
        <f t="shared" si="58"/>
        <v>Friday</v>
      </c>
      <c r="F243" s="38"/>
      <c r="G243" s="39">
        <f t="shared" si="59"/>
        <v>0</v>
      </c>
      <c r="H243" s="38"/>
      <c r="I243" s="38">
        <f t="shared" si="60"/>
        <v>0</v>
      </c>
      <c r="J243" s="40"/>
      <c r="K243" s="41">
        <f t="shared" si="61"/>
        <v>0</v>
      </c>
      <c r="L243" s="40"/>
      <c r="M243" s="40">
        <f t="shared" si="62"/>
        <v>0</v>
      </c>
      <c r="N243" s="42"/>
      <c r="O243" s="43">
        <f t="shared" si="63"/>
        <v>0</v>
      </c>
      <c r="P243" s="42"/>
      <c r="Q243" s="42">
        <f t="shared" si="64"/>
        <v>0</v>
      </c>
      <c r="R243" s="44">
        <f t="shared" si="65"/>
        <v>0</v>
      </c>
      <c r="S243" s="45">
        <f t="shared" si="66"/>
        <v>0</v>
      </c>
      <c r="T243" s="44">
        <f t="shared" si="67"/>
        <v>0</v>
      </c>
      <c r="U243" s="46">
        <f t="shared" si="68"/>
        <v>0</v>
      </c>
      <c r="V243" s="47"/>
      <c r="W243" s="48">
        <f t="shared" si="69"/>
        <v>0</v>
      </c>
      <c r="X243" s="49"/>
      <c r="Y243" s="50">
        <f t="shared" si="70"/>
        <v>0</v>
      </c>
      <c r="Z243" s="51"/>
      <c r="AA243" s="52">
        <f t="shared" si="71"/>
        <v>0</v>
      </c>
      <c r="AB243" s="36"/>
      <c r="AC243" s="36"/>
      <c r="AD243" s="29">
        <f t="shared" si="72"/>
        <v>0</v>
      </c>
    </row>
    <row r="244" spans="1:30" ht="15" customHeight="1" x14ac:dyDescent="0.25">
      <c r="A244" s="17">
        <f t="shared" si="55"/>
        <v>46334</v>
      </c>
      <c r="B244" s="18">
        <f t="shared" si="56"/>
        <v>7</v>
      </c>
      <c r="C244" s="18" t="str">
        <f t="shared" si="57"/>
        <v>Nov 2026</v>
      </c>
      <c r="D244" s="37">
        <v>46340</v>
      </c>
      <c r="E244" s="17" t="str">
        <f t="shared" si="58"/>
        <v>Saturday</v>
      </c>
      <c r="F244" s="38"/>
      <c r="G244" s="39">
        <f t="shared" si="59"/>
        <v>0</v>
      </c>
      <c r="H244" s="38"/>
      <c r="I244" s="38">
        <f t="shared" si="60"/>
        <v>0</v>
      </c>
      <c r="J244" s="40"/>
      <c r="K244" s="41">
        <f t="shared" si="61"/>
        <v>0</v>
      </c>
      <c r="L244" s="40"/>
      <c r="M244" s="40">
        <f t="shared" si="62"/>
        <v>0</v>
      </c>
      <c r="N244" s="42"/>
      <c r="O244" s="43">
        <f t="shared" si="63"/>
        <v>0</v>
      </c>
      <c r="P244" s="42"/>
      <c r="Q244" s="42">
        <f t="shared" si="64"/>
        <v>0</v>
      </c>
      <c r="R244" s="44">
        <f t="shared" si="65"/>
        <v>0</v>
      </c>
      <c r="S244" s="45">
        <f t="shared" si="66"/>
        <v>0</v>
      </c>
      <c r="T244" s="44">
        <f t="shared" si="67"/>
        <v>0</v>
      </c>
      <c r="U244" s="46">
        <f t="shared" si="68"/>
        <v>0</v>
      </c>
      <c r="V244" s="47"/>
      <c r="W244" s="48">
        <f t="shared" si="69"/>
        <v>0</v>
      </c>
      <c r="X244" s="49"/>
      <c r="Y244" s="50">
        <f t="shared" si="70"/>
        <v>0</v>
      </c>
      <c r="Z244" s="51"/>
      <c r="AA244" s="52">
        <f t="shared" si="71"/>
        <v>0</v>
      </c>
      <c r="AB244" s="36"/>
      <c r="AC244" s="36"/>
      <c r="AD244" s="29">
        <f t="shared" si="72"/>
        <v>0</v>
      </c>
    </row>
    <row r="245" spans="1:30" ht="15" customHeight="1" x14ac:dyDescent="0.25">
      <c r="A245" s="17">
        <f t="shared" si="55"/>
        <v>46341</v>
      </c>
      <c r="B245" s="18">
        <f t="shared" si="56"/>
        <v>1</v>
      </c>
      <c r="C245" s="18" t="str">
        <f t="shared" si="57"/>
        <v>Nov 2026</v>
      </c>
      <c r="D245" s="37">
        <v>46341</v>
      </c>
      <c r="E245" s="17" t="str">
        <f t="shared" si="58"/>
        <v>Sunday</v>
      </c>
      <c r="F245" s="38"/>
      <c r="G245" s="39">
        <f t="shared" si="59"/>
        <v>0</v>
      </c>
      <c r="H245" s="38"/>
      <c r="I245" s="38">
        <f t="shared" si="60"/>
        <v>0</v>
      </c>
      <c r="J245" s="40"/>
      <c r="K245" s="41">
        <f t="shared" si="61"/>
        <v>0</v>
      </c>
      <c r="L245" s="40"/>
      <c r="M245" s="40">
        <f t="shared" si="62"/>
        <v>0</v>
      </c>
      <c r="N245" s="42"/>
      <c r="O245" s="43">
        <f t="shared" si="63"/>
        <v>0</v>
      </c>
      <c r="P245" s="42"/>
      <c r="Q245" s="42">
        <f t="shared" si="64"/>
        <v>0</v>
      </c>
      <c r="R245" s="44">
        <f t="shared" si="65"/>
        <v>0</v>
      </c>
      <c r="S245" s="45">
        <f t="shared" si="66"/>
        <v>0</v>
      </c>
      <c r="T245" s="44">
        <f t="shared" si="67"/>
        <v>0</v>
      </c>
      <c r="U245" s="46">
        <f t="shared" si="68"/>
        <v>0</v>
      </c>
      <c r="V245" s="47"/>
      <c r="W245" s="48">
        <f t="shared" si="69"/>
        <v>0</v>
      </c>
      <c r="X245" s="49"/>
      <c r="Y245" s="50">
        <f t="shared" si="70"/>
        <v>0</v>
      </c>
      <c r="Z245" s="51"/>
      <c r="AA245" s="52">
        <f t="shared" si="71"/>
        <v>0</v>
      </c>
      <c r="AB245" s="36"/>
      <c r="AC245" s="36"/>
      <c r="AD245" s="29">
        <f t="shared" si="72"/>
        <v>0</v>
      </c>
    </row>
    <row r="246" spans="1:30" ht="15" customHeight="1" x14ac:dyDescent="0.25">
      <c r="A246" s="17">
        <f t="shared" si="55"/>
        <v>46341</v>
      </c>
      <c r="B246" s="18">
        <f t="shared" si="56"/>
        <v>2</v>
      </c>
      <c r="C246" s="18" t="str">
        <f t="shared" si="57"/>
        <v>Nov 2026</v>
      </c>
      <c r="D246" s="37">
        <v>46342</v>
      </c>
      <c r="E246" s="17" t="str">
        <f t="shared" si="58"/>
        <v>Monday</v>
      </c>
      <c r="F246" s="38"/>
      <c r="G246" s="39">
        <f t="shared" si="59"/>
        <v>0</v>
      </c>
      <c r="H246" s="38"/>
      <c r="I246" s="38">
        <f t="shared" si="60"/>
        <v>0</v>
      </c>
      <c r="J246" s="40"/>
      <c r="K246" s="41">
        <f t="shared" si="61"/>
        <v>0</v>
      </c>
      <c r="L246" s="40"/>
      <c r="M246" s="40">
        <f t="shared" si="62"/>
        <v>0</v>
      </c>
      <c r="N246" s="42"/>
      <c r="O246" s="43">
        <f t="shared" si="63"/>
        <v>0</v>
      </c>
      <c r="P246" s="42"/>
      <c r="Q246" s="42">
        <f t="shared" si="64"/>
        <v>0</v>
      </c>
      <c r="R246" s="44">
        <f t="shared" si="65"/>
        <v>0</v>
      </c>
      <c r="S246" s="45">
        <f t="shared" si="66"/>
        <v>0</v>
      </c>
      <c r="T246" s="44">
        <f t="shared" si="67"/>
        <v>0</v>
      </c>
      <c r="U246" s="46">
        <f t="shared" si="68"/>
        <v>0</v>
      </c>
      <c r="V246" s="47"/>
      <c r="W246" s="48">
        <f t="shared" si="69"/>
        <v>0</v>
      </c>
      <c r="X246" s="49"/>
      <c r="Y246" s="50">
        <f t="shared" si="70"/>
        <v>0</v>
      </c>
      <c r="Z246" s="51"/>
      <c r="AA246" s="52">
        <f t="shared" si="71"/>
        <v>0</v>
      </c>
      <c r="AB246" s="36"/>
      <c r="AC246" s="36"/>
      <c r="AD246" s="29">
        <f t="shared" si="72"/>
        <v>0</v>
      </c>
    </row>
    <row r="247" spans="1:30" ht="15" customHeight="1" x14ac:dyDescent="0.25">
      <c r="A247" s="17">
        <f t="shared" si="55"/>
        <v>46341</v>
      </c>
      <c r="B247" s="18">
        <f t="shared" si="56"/>
        <v>3</v>
      </c>
      <c r="C247" s="18" t="str">
        <f t="shared" si="57"/>
        <v>Nov 2026</v>
      </c>
      <c r="D247" s="37">
        <v>46343</v>
      </c>
      <c r="E247" s="17" t="str">
        <f t="shared" si="58"/>
        <v>Tuesday</v>
      </c>
      <c r="F247" s="38"/>
      <c r="G247" s="39">
        <f t="shared" si="59"/>
        <v>0</v>
      </c>
      <c r="H247" s="38"/>
      <c r="I247" s="38">
        <f t="shared" si="60"/>
        <v>0</v>
      </c>
      <c r="J247" s="40"/>
      <c r="K247" s="41">
        <f t="shared" si="61"/>
        <v>0</v>
      </c>
      <c r="L247" s="40"/>
      <c r="M247" s="40">
        <f t="shared" si="62"/>
        <v>0</v>
      </c>
      <c r="N247" s="42"/>
      <c r="O247" s="43">
        <f t="shared" si="63"/>
        <v>0</v>
      </c>
      <c r="P247" s="42"/>
      <c r="Q247" s="42">
        <f t="shared" si="64"/>
        <v>0</v>
      </c>
      <c r="R247" s="44">
        <f t="shared" si="65"/>
        <v>0</v>
      </c>
      <c r="S247" s="45">
        <f t="shared" si="66"/>
        <v>0</v>
      </c>
      <c r="T247" s="44">
        <f t="shared" si="67"/>
        <v>0</v>
      </c>
      <c r="U247" s="46">
        <f t="shared" si="68"/>
        <v>0</v>
      </c>
      <c r="V247" s="47"/>
      <c r="W247" s="48">
        <f t="shared" si="69"/>
        <v>0</v>
      </c>
      <c r="X247" s="49"/>
      <c r="Y247" s="50">
        <f t="shared" si="70"/>
        <v>0</v>
      </c>
      <c r="Z247" s="51"/>
      <c r="AA247" s="52">
        <f t="shared" si="71"/>
        <v>0</v>
      </c>
      <c r="AB247" s="36"/>
      <c r="AC247" s="36"/>
      <c r="AD247" s="29">
        <f t="shared" si="72"/>
        <v>0</v>
      </c>
    </row>
    <row r="248" spans="1:30" ht="15" customHeight="1" x14ac:dyDescent="0.25">
      <c r="A248" s="17">
        <f t="shared" si="55"/>
        <v>46341</v>
      </c>
      <c r="B248" s="18">
        <f t="shared" si="56"/>
        <v>4</v>
      </c>
      <c r="C248" s="18" t="str">
        <f t="shared" si="57"/>
        <v>Nov 2026</v>
      </c>
      <c r="D248" s="37">
        <v>46344</v>
      </c>
      <c r="E248" s="17" t="str">
        <f t="shared" si="58"/>
        <v>Wednesday</v>
      </c>
      <c r="F248" s="38"/>
      <c r="G248" s="39">
        <f t="shared" si="59"/>
        <v>0</v>
      </c>
      <c r="H248" s="38"/>
      <c r="I248" s="38">
        <f t="shared" si="60"/>
        <v>0</v>
      </c>
      <c r="J248" s="40"/>
      <c r="K248" s="41">
        <f t="shared" si="61"/>
        <v>0</v>
      </c>
      <c r="L248" s="40"/>
      <c r="M248" s="40">
        <f t="shared" si="62"/>
        <v>0</v>
      </c>
      <c r="N248" s="42"/>
      <c r="O248" s="43">
        <f t="shared" si="63"/>
        <v>0</v>
      </c>
      <c r="P248" s="42"/>
      <c r="Q248" s="42">
        <f t="shared" si="64"/>
        <v>0</v>
      </c>
      <c r="R248" s="44">
        <f t="shared" si="65"/>
        <v>0</v>
      </c>
      <c r="S248" s="45">
        <f t="shared" si="66"/>
        <v>0</v>
      </c>
      <c r="T248" s="44">
        <f t="shared" si="67"/>
        <v>0</v>
      </c>
      <c r="U248" s="46">
        <f t="shared" si="68"/>
        <v>0</v>
      </c>
      <c r="V248" s="47"/>
      <c r="W248" s="48">
        <f t="shared" si="69"/>
        <v>0</v>
      </c>
      <c r="X248" s="49"/>
      <c r="Y248" s="50">
        <f t="shared" si="70"/>
        <v>0</v>
      </c>
      <c r="Z248" s="51"/>
      <c r="AA248" s="52">
        <f t="shared" si="71"/>
        <v>0</v>
      </c>
      <c r="AB248" s="36"/>
      <c r="AC248" s="36"/>
      <c r="AD248" s="29">
        <f t="shared" si="72"/>
        <v>0</v>
      </c>
    </row>
    <row r="249" spans="1:30" ht="15" customHeight="1" x14ac:dyDescent="0.25">
      <c r="A249" s="17">
        <f t="shared" si="55"/>
        <v>46341</v>
      </c>
      <c r="B249" s="18">
        <f t="shared" si="56"/>
        <v>5</v>
      </c>
      <c r="C249" s="18" t="str">
        <f t="shared" si="57"/>
        <v>Nov 2026</v>
      </c>
      <c r="D249" s="37">
        <v>46345</v>
      </c>
      <c r="E249" s="17" t="str">
        <f t="shared" si="58"/>
        <v>Thursday</v>
      </c>
      <c r="F249" s="38"/>
      <c r="G249" s="39">
        <f t="shared" si="59"/>
        <v>0</v>
      </c>
      <c r="H249" s="38"/>
      <c r="I249" s="38">
        <f t="shared" si="60"/>
        <v>0</v>
      </c>
      <c r="J249" s="40"/>
      <c r="K249" s="41">
        <f t="shared" si="61"/>
        <v>0</v>
      </c>
      <c r="L249" s="40"/>
      <c r="M249" s="40">
        <f t="shared" si="62"/>
        <v>0</v>
      </c>
      <c r="N249" s="42"/>
      <c r="O249" s="43">
        <f t="shared" si="63"/>
        <v>0</v>
      </c>
      <c r="P249" s="42"/>
      <c r="Q249" s="42">
        <f t="shared" si="64"/>
        <v>0</v>
      </c>
      <c r="R249" s="44">
        <f t="shared" si="65"/>
        <v>0</v>
      </c>
      <c r="S249" s="45">
        <f t="shared" si="66"/>
        <v>0</v>
      </c>
      <c r="T249" s="44">
        <f t="shared" si="67"/>
        <v>0</v>
      </c>
      <c r="U249" s="46">
        <f t="shared" si="68"/>
        <v>0</v>
      </c>
      <c r="V249" s="47"/>
      <c r="W249" s="48">
        <f t="shared" si="69"/>
        <v>0</v>
      </c>
      <c r="X249" s="49"/>
      <c r="Y249" s="50">
        <f t="shared" si="70"/>
        <v>0</v>
      </c>
      <c r="Z249" s="51"/>
      <c r="AA249" s="52">
        <f t="shared" si="71"/>
        <v>0</v>
      </c>
      <c r="AB249" s="36"/>
      <c r="AC249" s="36"/>
      <c r="AD249" s="29">
        <f t="shared" si="72"/>
        <v>0</v>
      </c>
    </row>
    <row r="250" spans="1:30" ht="15" customHeight="1" x14ac:dyDescent="0.25">
      <c r="A250" s="17">
        <f t="shared" si="55"/>
        <v>46341</v>
      </c>
      <c r="B250" s="18">
        <f t="shared" si="56"/>
        <v>6</v>
      </c>
      <c r="C250" s="18" t="str">
        <f t="shared" si="57"/>
        <v>Nov 2026</v>
      </c>
      <c r="D250" s="37">
        <v>46346</v>
      </c>
      <c r="E250" s="17" t="str">
        <f t="shared" si="58"/>
        <v>Friday</v>
      </c>
      <c r="F250" s="38"/>
      <c r="G250" s="39">
        <f t="shared" si="59"/>
        <v>0</v>
      </c>
      <c r="H250" s="38"/>
      <c r="I250" s="38">
        <f t="shared" si="60"/>
        <v>0</v>
      </c>
      <c r="J250" s="40"/>
      <c r="K250" s="41">
        <f t="shared" si="61"/>
        <v>0</v>
      </c>
      <c r="L250" s="40"/>
      <c r="M250" s="40">
        <f t="shared" si="62"/>
        <v>0</v>
      </c>
      <c r="N250" s="42"/>
      <c r="O250" s="43">
        <f t="shared" si="63"/>
        <v>0</v>
      </c>
      <c r="P250" s="42"/>
      <c r="Q250" s="42">
        <f t="shared" si="64"/>
        <v>0</v>
      </c>
      <c r="R250" s="44">
        <f t="shared" si="65"/>
        <v>0</v>
      </c>
      <c r="S250" s="45">
        <f t="shared" si="66"/>
        <v>0</v>
      </c>
      <c r="T250" s="44">
        <f t="shared" si="67"/>
        <v>0</v>
      </c>
      <c r="U250" s="46">
        <f t="shared" si="68"/>
        <v>0</v>
      </c>
      <c r="V250" s="47"/>
      <c r="W250" s="48">
        <f t="shared" si="69"/>
        <v>0</v>
      </c>
      <c r="X250" s="49"/>
      <c r="Y250" s="50">
        <f t="shared" si="70"/>
        <v>0</v>
      </c>
      <c r="Z250" s="51"/>
      <c r="AA250" s="52">
        <f t="shared" si="71"/>
        <v>0</v>
      </c>
      <c r="AB250" s="36"/>
      <c r="AC250" s="36"/>
      <c r="AD250" s="29">
        <f t="shared" si="72"/>
        <v>0</v>
      </c>
    </row>
    <row r="251" spans="1:30" ht="15" customHeight="1" x14ac:dyDescent="0.25">
      <c r="A251" s="17">
        <f t="shared" si="55"/>
        <v>46341</v>
      </c>
      <c r="B251" s="18">
        <f t="shared" si="56"/>
        <v>7</v>
      </c>
      <c r="C251" s="18" t="str">
        <f t="shared" si="57"/>
        <v>Nov 2026</v>
      </c>
      <c r="D251" s="37">
        <v>46347</v>
      </c>
      <c r="E251" s="17" t="str">
        <f t="shared" si="58"/>
        <v>Saturday</v>
      </c>
      <c r="F251" s="38"/>
      <c r="G251" s="39">
        <f t="shared" si="59"/>
        <v>0</v>
      </c>
      <c r="H251" s="38"/>
      <c r="I251" s="38">
        <f t="shared" si="60"/>
        <v>0</v>
      </c>
      <c r="J251" s="40"/>
      <c r="K251" s="41">
        <f t="shared" si="61"/>
        <v>0</v>
      </c>
      <c r="L251" s="40"/>
      <c r="M251" s="40">
        <f t="shared" si="62"/>
        <v>0</v>
      </c>
      <c r="N251" s="42"/>
      <c r="O251" s="43">
        <f t="shared" si="63"/>
        <v>0</v>
      </c>
      <c r="P251" s="42"/>
      <c r="Q251" s="42">
        <f t="shared" si="64"/>
        <v>0</v>
      </c>
      <c r="R251" s="44">
        <f t="shared" si="65"/>
        <v>0</v>
      </c>
      <c r="S251" s="45">
        <f t="shared" si="66"/>
        <v>0</v>
      </c>
      <c r="T251" s="44">
        <f t="shared" si="67"/>
        <v>0</v>
      </c>
      <c r="U251" s="46">
        <f t="shared" si="68"/>
        <v>0</v>
      </c>
      <c r="V251" s="47"/>
      <c r="W251" s="48">
        <f t="shared" si="69"/>
        <v>0</v>
      </c>
      <c r="X251" s="49"/>
      <c r="Y251" s="50">
        <f t="shared" si="70"/>
        <v>0</v>
      </c>
      <c r="Z251" s="51"/>
      <c r="AA251" s="52">
        <f t="shared" si="71"/>
        <v>0</v>
      </c>
      <c r="AB251" s="36"/>
      <c r="AC251" s="36"/>
      <c r="AD251" s="29">
        <f t="shared" si="72"/>
        <v>0</v>
      </c>
    </row>
    <row r="252" spans="1:30" ht="15" customHeight="1" x14ac:dyDescent="0.25">
      <c r="A252" s="17">
        <f t="shared" si="55"/>
        <v>46348</v>
      </c>
      <c r="B252" s="18">
        <f t="shared" si="56"/>
        <v>1</v>
      </c>
      <c r="C252" s="18" t="str">
        <f t="shared" si="57"/>
        <v>Nov 2026</v>
      </c>
      <c r="D252" s="37">
        <v>46348</v>
      </c>
      <c r="E252" s="17" t="str">
        <f t="shared" si="58"/>
        <v>Sunday</v>
      </c>
      <c r="F252" s="38"/>
      <c r="G252" s="39">
        <f t="shared" si="59"/>
        <v>0</v>
      </c>
      <c r="H252" s="38"/>
      <c r="I252" s="38">
        <f t="shared" si="60"/>
        <v>0</v>
      </c>
      <c r="J252" s="40"/>
      <c r="K252" s="41">
        <f t="shared" si="61"/>
        <v>0</v>
      </c>
      <c r="L252" s="40"/>
      <c r="M252" s="40">
        <f t="shared" si="62"/>
        <v>0</v>
      </c>
      <c r="N252" s="42"/>
      <c r="O252" s="43">
        <f t="shared" si="63"/>
        <v>0</v>
      </c>
      <c r="P252" s="42"/>
      <c r="Q252" s="42">
        <f t="shared" si="64"/>
        <v>0</v>
      </c>
      <c r="R252" s="44">
        <f t="shared" si="65"/>
        <v>0</v>
      </c>
      <c r="S252" s="45">
        <f t="shared" si="66"/>
        <v>0</v>
      </c>
      <c r="T252" s="44">
        <f t="shared" si="67"/>
        <v>0</v>
      </c>
      <c r="U252" s="46">
        <f t="shared" si="68"/>
        <v>0</v>
      </c>
      <c r="V252" s="47"/>
      <c r="W252" s="48">
        <f t="shared" si="69"/>
        <v>0</v>
      </c>
      <c r="X252" s="49"/>
      <c r="Y252" s="50">
        <f t="shared" si="70"/>
        <v>0</v>
      </c>
      <c r="Z252" s="51"/>
      <c r="AA252" s="52">
        <f t="shared" si="71"/>
        <v>0</v>
      </c>
      <c r="AB252" s="36"/>
      <c r="AC252" s="36"/>
      <c r="AD252" s="29">
        <f t="shared" si="72"/>
        <v>0</v>
      </c>
    </row>
    <row r="253" spans="1:30" ht="15" customHeight="1" x14ac:dyDescent="0.25">
      <c r="A253" s="17">
        <f t="shared" si="55"/>
        <v>46348</v>
      </c>
      <c r="B253" s="18">
        <f t="shared" si="56"/>
        <v>2</v>
      </c>
      <c r="C253" s="18" t="str">
        <f t="shared" si="57"/>
        <v>Nov 2026</v>
      </c>
      <c r="D253" s="37">
        <v>46349</v>
      </c>
      <c r="E253" s="17" t="str">
        <f t="shared" si="58"/>
        <v>Monday</v>
      </c>
      <c r="F253" s="38"/>
      <c r="G253" s="39">
        <f t="shared" si="59"/>
        <v>0</v>
      </c>
      <c r="H253" s="38"/>
      <c r="I253" s="38">
        <f t="shared" si="60"/>
        <v>0</v>
      </c>
      <c r="J253" s="40"/>
      <c r="K253" s="41">
        <f t="shared" si="61"/>
        <v>0</v>
      </c>
      <c r="L253" s="40"/>
      <c r="M253" s="40">
        <f t="shared" si="62"/>
        <v>0</v>
      </c>
      <c r="N253" s="42"/>
      <c r="O253" s="43">
        <f t="shared" si="63"/>
        <v>0</v>
      </c>
      <c r="P253" s="42"/>
      <c r="Q253" s="42">
        <f t="shared" si="64"/>
        <v>0</v>
      </c>
      <c r="R253" s="44">
        <f t="shared" si="65"/>
        <v>0</v>
      </c>
      <c r="S253" s="45">
        <f t="shared" si="66"/>
        <v>0</v>
      </c>
      <c r="T253" s="44">
        <f t="shared" si="67"/>
        <v>0</v>
      </c>
      <c r="U253" s="46">
        <f t="shared" si="68"/>
        <v>0</v>
      </c>
      <c r="V253" s="47"/>
      <c r="W253" s="48">
        <f t="shared" si="69"/>
        <v>0</v>
      </c>
      <c r="X253" s="49"/>
      <c r="Y253" s="50">
        <f t="shared" si="70"/>
        <v>0</v>
      </c>
      <c r="Z253" s="51"/>
      <c r="AA253" s="52">
        <f t="shared" si="71"/>
        <v>0</v>
      </c>
      <c r="AB253" s="36"/>
      <c r="AC253" s="36"/>
      <c r="AD253" s="29">
        <f t="shared" si="72"/>
        <v>0</v>
      </c>
    </row>
    <row r="254" spans="1:30" ht="15" customHeight="1" x14ac:dyDescent="0.25">
      <c r="A254" s="17">
        <f t="shared" si="55"/>
        <v>46348</v>
      </c>
      <c r="B254" s="18">
        <f t="shared" si="56"/>
        <v>3</v>
      </c>
      <c r="C254" s="18" t="str">
        <f t="shared" si="57"/>
        <v>Nov 2026</v>
      </c>
      <c r="D254" s="37">
        <v>46350</v>
      </c>
      <c r="E254" s="17" t="str">
        <f t="shared" si="58"/>
        <v>Tuesday</v>
      </c>
      <c r="F254" s="38"/>
      <c r="G254" s="39">
        <f t="shared" si="59"/>
        <v>0</v>
      </c>
      <c r="H254" s="38"/>
      <c r="I254" s="38">
        <f t="shared" si="60"/>
        <v>0</v>
      </c>
      <c r="J254" s="40"/>
      <c r="K254" s="41">
        <f t="shared" si="61"/>
        <v>0</v>
      </c>
      <c r="L254" s="40"/>
      <c r="M254" s="40">
        <f t="shared" si="62"/>
        <v>0</v>
      </c>
      <c r="N254" s="42"/>
      <c r="O254" s="43">
        <f t="shared" si="63"/>
        <v>0</v>
      </c>
      <c r="P254" s="42"/>
      <c r="Q254" s="42">
        <f t="shared" si="64"/>
        <v>0</v>
      </c>
      <c r="R254" s="44">
        <f t="shared" si="65"/>
        <v>0</v>
      </c>
      <c r="S254" s="45">
        <f t="shared" si="66"/>
        <v>0</v>
      </c>
      <c r="T254" s="44">
        <f t="shared" si="67"/>
        <v>0</v>
      </c>
      <c r="U254" s="46">
        <f t="shared" si="68"/>
        <v>0</v>
      </c>
      <c r="V254" s="47"/>
      <c r="W254" s="48">
        <f t="shared" si="69"/>
        <v>0</v>
      </c>
      <c r="X254" s="49"/>
      <c r="Y254" s="50">
        <f t="shared" si="70"/>
        <v>0</v>
      </c>
      <c r="Z254" s="51"/>
      <c r="AA254" s="52">
        <f t="shared" si="71"/>
        <v>0</v>
      </c>
      <c r="AB254" s="36"/>
      <c r="AC254" s="36"/>
      <c r="AD254" s="29">
        <f t="shared" si="72"/>
        <v>0</v>
      </c>
    </row>
    <row r="255" spans="1:30" ht="15" customHeight="1" x14ac:dyDescent="0.25">
      <c r="A255" s="17">
        <f t="shared" si="55"/>
        <v>46348</v>
      </c>
      <c r="B255" s="18">
        <f t="shared" si="56"/>
        <v>4</v>
      </c>
      <c r="C255" s="18" t="str">
        <f t="shared" si="57"/>
        <v>Nov 2026</v>
      </c>
      <c r="D255" s="37">
        <v>46351</v>
      </c>
      <c r="E255" s="17" t="str">
        <f t="shared" si="58"/>
        <v>Wednesday</v>
      </c>
      <c r="F255" s="38"/>
      <c r="G255" s="39">
        <f t="shared" si="59"/>
        <v>0</v>
      </c>
      <c r="H255" s="38"/>
      <c r="I255" s="38">
        <f t="shared" si="60"/>
        <v>0</v>
      </c>
      <c r="J255" s="40"/>
      <c r="K255" s="41">
        <f t="shared" si="61"/>
        <v>0</v>
      </c>
      <c r="L255" s="40"/>
      <c r="M255" s="40">
        <f t="shared" si="62"/>
        <v>0</v>
      </c>
      <c r="N255" s="42"/>
      <c r="O255" s="43">
        <f t="shared" si="63"/>
        <v>0</v>
      </c>
      <c r="P255" s="42"/>
      <c r="Q255" s="42">
        <f t="shared" si="64"/>
        <v>0</v>
      </c>
      <c r="R255" s="44">
        <f t="shared" si="65"/>
        <v>0</v>
      </c>
      <c r="S255" s="45">
        <f t="shared" si="66"/>
        <v>0</v>
      </c>
      <c r="T255" s="44">
        <f t="shared" si="67"/>
        <v>0</v>
      </c>
      <c r="U255" s="46">
        <f t="shared" si="68"/>
        <v>0</v>
      </c>
      <c r="V255" s="47"/>
      <c r="W255" s="48">
        <f t="shared" si="69"/>
        <v>0</v>
      </c>
      <c r="X255" s="49"/>
      <c r="Y255" s="50">
        <f t="shared" si="70"/>
        <v>0</v>
      </c>
      <c r="Z255" s="51"/>
      <c r="AA255" s="52">
        <f t="shared" si="71"/>
        <v>0</v>
      </c>
      <c r="AB255" s="36"/>
      <c r="AC255" s="36"/>
      <c r="AD255" s="29">
        <f t="shared" si="72"/>
        <v>0</v>
      </c>
    </row>
    <row r="256" spans="1:30" ht="15" customHeight="1" x14ac:dyDescent="0.25">
      <c r="A256" s="17">
        <f t="shared" si="55"/>
        <v>46348</v>
      </c>
      <c r="B256" s="18">
        <f t="shared" si="56"/>
        <v>5</v>
      </c>
      <c r="C256" s="18" t="str">
        <f t="shared" si="57"/>
        <v>Nov 2026</v>
      </c>
      <c r="D256" s="37">
        <v>46352</v>
      </c>
      <c r="E256" s="17" t="str">
        <f t="shared" si="58"/>
        <v>Thursday</v>
      </c>
      <c r="F256" s="38"/>
      <c r="G256" s="39">
        <f t="shared" si="59"/>
        <v>0</v>
      </c>
      <c r="H256" s="38"/>
      <c r="I256" s="38">
        <f t="shared" si="60"/>
        <v>0</v>
      </c>
      <c r="J256" s="40"/>
      <c r="K256" s="41">
        <f t="shared" si="61"/>
        <v>0</v>
      </c>
      <c r="L256" s="40"/>
      <c r="M256" s="40">
        <f t="shared" si="62"/>
        <v>0</v>
      </c>
      <c r="N256" s="42"/>
      <c r="O256" s="43">
        <f t="shared" si="63"/>
        <v>0</v>
      </c>
      <c r="P256" s="42"/>
      <c r="Q256" s="42">
        <f t="shared" si="64"/>
        <v>0</v>
      </c>
      <c r="R256" s="44">
        <f t="shared" si="65"/>
        <v>0</v>
      </c>
      <c r="S256" s="45">
        <f t="shared" si="66"/>
        <v>0</v>
      </c>
      <c r="T256" s="44">
        <f t="shared" si="67"/>
        <v>0</v>
      </c>
      <c r="U256" s="46">
        <f t="shared" si="68"/>
        <v>0</v>
      </c>
      <c r="V256" s="47"/>
      <c r="W256" s="48">
        <f t="shared" si="69"/>
        <v>0</v>
      </c>
      <c r="X256" s="49"/>
      <c r="Y256" s="50">
        <f t="shared" si="70"/>
        <v>0</v>
      </c>
      <c r="Z256" s="51"/>
      <c r="AA256" s="52">
        <f t="shared" si="71"/>
        <v>0</v>
      </c>
      <c r="AB256" s="36"/>
      <c r="AC256" s="36"/>
      <c r="AD256" s="29">
        <f t="shared" si="72"/>
        <v>0</v>
      </c>
    </row>
    <row r="257" spans="1:30" ht="15" customHeight="1" x14ac:dyDescent="0.25">
      <c r="A257" s="17">
        <f t="shared" si="55"/>
        <v>46348</v>
      </c>
      <c r="B257" s="18">
        <f t="shared" si="56"/>
        <v>6</v>
      </c>
      <c r="C257" s="18" t="str">
        <f t="shared" si="57"/>
        <v>Nov 2026</v>
      </c>
      <c r="D257" s="37">
        <v>46353</v>
      </c>
      <c r="E257" s="17" t="str">
        <f t="shared" si="58"/>
        <v>Friday</v>
      </c>
      <c r="F257" s="38"/>
      <c r="G257" s="39">
        <f t="shared" si="59"/>
        <v>0</v>
      </c>
      <c r="H257" s="38"/>
      <c r="I257" s="38">
        <f t="shared" si="60"/>
        <v>0</v>
      </c>
      <c r="J257" s="40"/>
      <c r="K257" s="41">
        <f t="shared" si="61"/>
        <v>0</v>
      </c>
      <c r="L257" s="40"/>
      <c r="M257" s="40">
        <f t="shared" si="62"/>
        <v>0</v>
      </c>
      <c r="N257" s="42"/>
      <c r="O257" s="43">
        <f t="shared" si="63"/>
        <v>0</v>
      </c>
      <c r="P257" s="42"/>
      <c r="Q257" s="42">
        <f t="shared" si="64"/>
        <v>0</v>
      </c>
      <c r="R257" s="44">
        <f t="shared" si="65"/>
        <v>0</v>
      </c>
      <c r="S257" s="45">
        <f t="shared" si="66"/>
        <v>0</v>
      </c>
      <c r="T257" s="44">
        <f t="shared" si="67"/>
        <v>0</v>
      </c>
      <c r="U257" s="46">
        <f t="shared" si="68"/>
        <v>0</v>
      </c>
      <c r="V257" s="47"/>
      <c r="W257" s="48">
        <f t="shared" si="69"/>
        <v>0</v>
      </c>
      <c r="X257" s="49"/>
      <c r="Y257" s="50">
        <f t="shared" si="70"/>
        <v>0</v>
      </c>
      <c r="Z257" s="51"/>
      <c r="AA257" s="52">
        <f t="shared" si="71"/>
        <v>0</v>
      </c>
      <c r="AB257" s="36"/>
      <c r="AC257" s="36"/>
      <c r="AD257" s="29">
        <f t="shared" si="72"/>
        <v>0</v>
      </c>
    </row>
    <row r="258" spans="1:30" ht="15" customHeight="1" x14ac:dyDescent="0.25">
      <c r="A258" s="17">
        <f t="shared" ref="A258:A292" si="73">D258-WEEKDAY(D258,1)+1</f>
        <v>46348</v>
      </c>
      <c r="B258" s="18">
        <f t="shared" ref="B258:B292" si="74">WEEKDAY(D258,1)</f>
        <v>7</v>
      </c>
      <c r="C258" s="18" t="str">
        <f t="shared" ref="C258:C292" si="75">TEXT(D258,"mmm yyyy")</f>
        <v>Nov 2026</v>
      </c>
      <c r="D258" s="37">
        <v>46354</v>
      </c>
      <c r="E258" s="17" t="str">
        <f t="shared" ref="E258:E292" si="76">TEXT(D258,"dddd")</f>
        <v>Saturday</v>
      </c>
      <c r="F258" s="38"/>
      <c r="G258" s="39">
        <f t="shared" ref="G258:G292" si="77">F258*8</f>
        <v>0</v>
      </c>
      <c r="H258" s="38"/>
      <c r="I258" s="38">
        <f t="shared" ref="I258:I292" si="78">SUM(H258,G258)</f>
        <v>0</v>
      </c>
      <c r="J258" s="40"/>
      <c r="K258" s="41">
        <f t="shared" ref="K258:K292" si="79">J258*8</f>
        <v>0</v>
      </c>
      <c r="L258" s="40"/>
      <c r="M258" s="40">
        <f t="shared" ref="M258:M292" si="80">SUM(K258,L258)</f>
        <v>0</v>
      </c>
      <c r="N258" s="42"/>
      <c r="O258" s="43">
        <f t="shared" ref="O258:O292" si="81">N258*8</f>
        <v>0</v>
      </c>
      <c r="P258" s="42"/>
      <c r="Q258" s="42">
        <f t="shared" ref="Q258:Q292" si="82">SUM(O258,P258)</f>
        <v>0</v>
      </c>
      <c r="R258" s="44">
        <f t="shared" ref="R258:R292" si="83">SUM(F258,J258,N258)</f>
        <v>0</v>
      </c>
      <c r="S258" s="45">
        <f t="shared" ref="S258:S292" si="84">R258*8</f>
        <v>0</v>
      </c>
      <c r="T258" s="44">
        <f t="shared" ref="T258:T292" si="85">SUM(G258,H258,K258,L258,O258,P258)</f>
        <v>0</v>
      </c>
      <c r="U258" s="46">
        <f t="shared" ref="U258:U292" si="86">T258-S258</f>
        <v>0</v>
      </c>
      <c r="V258" s="47"/>
      <c r="W258" s="48">
        <f t="shared" ref="W258:W292" si="87">V258*8</f>
        <v>0</v>
      </c>
      <c r="X258" s="49"/>
      <c r="Y258" s="50">
        <f t="shared" ref="Y258:Y292" si="88">X258*8</f>
        <v>0</v>
      </c>
      <c r="Z258" s="51"/>
      <c r="AA258" s="52">
        <f t="shared" ref="AA258:AA292" si="89">Z258*8</f>
        <v>0</v>
      </c>
      <c r="AB258" s="36"/>
      <c r="AC258" s="36"/>
      <c r="AD258" s="29">
        <f t="shared" ref="AD258:AD292" si="90">SUM(T258,AA258,Y258,W258,AC258)</f>
        <v>0</v>
      </c>
    </row>
    <row r="259" spans="1:30" ht="15" customHeight="1" x14ac:dyDescent="0.25">
      <c r="A259" s="17">
        <f t="shared" si="73"/>
        <v>46355</v>
      </c>
      <c r="B259" s="18">
        <f t="shared" si="74"/>
        <v>1</v>
      </c>
      <c r="C259" s="18" t="str">
        <f t="shared" si="75"/>
        <v>Nov 2026</v>
      </c>
      <c r="D259" s="37">
        <v>46355</v>
      </c>
      <c r="E259" s="17" t="str">
        <f t="shared" si="76"/>
        <v>Sunday</v>
      </c>
      <c r="F259" s="38"/>
      <c r="G259" s="39">
        <f t="shared" si="77"/>
        <v>0</v>
      </c>
      <c r="H259" s="38"/>
      <c r="I259" s="38">
        <f t="shared" si="78"/>
        <v>0</v>
      </c>
      <c r="J259" s="40"/>
      <c r="K259" s="41">
        <f t="shared" si="79"/>
        <v>0</v>
      </c>
      <c r="L259" s="40"/>
      <c r="M259" s="40">
        <f t="shared" si="80"/>
        <v>0</v>
      </c>
      <c r="N259" s="42"/>
      <c r="O259" s="43">
        <f t="shared" si="81"/>
        <v>0</v>
      </c>
      <c r="P259" s="42"/>
      <c r="Q259" s="42">
        <f t="shared" si="82"/>
        <v>0</v>
      </c>
      <c r="R259" s="44">
        <f t="shared" si="83"/>
        <v>0</v>
      </c>
      <c r="S259" s="45">
        <f t="shared" si="84"/>
        <v>0</v>
      </c>
      <c r="T259" s="44">
        <f t="shared" si="85"/>
        <v>0</v>
      </c>
      <c r="U259" s="46">
        <f t="shared" si="86"/>
        <v>0</v>
      </c>
      <c r="V259" s="47"/>
      <c r="W259" s="48">
        <f t="shared" si="87"/>
        <v>0</v>
      </c>
      <c r="X259" s="49"/>
      <c r="Y259" s="50">
        <f t="shared" si="88"/>
        <v>0</v>
      </c>
      <c r="Z259" s="51"/>
      <c r="AA259" s="52">
        <f t="shared" si="89"/>
        <v>0</v>
      </c>
      <c r="AB259" s="36"/>
      <c r="AC259" s="36"/>
      <c r="AD259" s="29">
        <f t="shared" si="90"/>
        <v>0</v>
      </c>
    </row>
    <row r="260" spans="1:30" ht="15" customHeight="1" x14ac:dyDescent="0.25">
      <c r="A260" s="17">
        <f t="shared" si="73"/>
        <v>46355</v>
      </c>
      <c r="B260" s="18">
        <f t="shared" si="74"/>
        <v>2</v>
      </c>
      <c r="C260" s="18" t="str">
        <f t="shared" si="75"/>
        <v>Nov 2026</v>
      </c>
      <c r="D260" s="37">
        <v>46356</v>
      </c>
      <c r="E260" s="17" t="str">
        <f t="shared" si="76"/>
        <v>Monday</v>
      </c>
      <c r="F260" s="38"/>
      <c r="G260" s="39">
        <f t="shared" si="77"/>
        <v>0</v>
      </c>
      <c r="H260" s="38"/>
      <c r="I260" s="38">
        <f t="shared" si="78"/>
        <v>0</v>
      </c>
      <c r="J260" s="40"/>
      <c r="K260" s="41">
        <f t="shared" si="79"/>
        <v>0</v>
      </c>
      <c r="L260" s="40"/>
      <c r="M260" s="40">
        <f t="shared" si="80"/>
        <v>0</v>
      </c>
      <c r="N260" s="42"/>
      <c r="O260" s="43">
        <f t="shared" si="81"/>
        <v>0</v>
      </c>
      <c r="P260" s="42"/>
      <c r="Q260" s="42">
        <f t="shared" si="82"/>
        <v>0</v>
      </c>
      <c r="R260" s="44">
        <f t="shared" si="83"/>
        <v>0</v>
      </c>
      <c r="S260" s="45">
        <f t="shared" si="84"/>
        <v>0</v>
      </c>
      <c r="T260" s="44">
        <f t="shared" si="85"/>
        <v>0</v>
      </c>
      <c r="U260" s="46">
        <f t="shared" si="86"/>
        <v>0</v>
      </c>
      <c r="V260" s="47"/>
      <c r="W260" s="48">
        <f t="shared" si="87"/>
        <v>0</v>
      </c>
      <c r="X260" s="49"/>
      <c r="Y260" s="50">
        <f t="shared" si="88"/>
        <v>0</v>
      </c>
      <c r="Z260" s="51"/>
      <c r="AA260" s="52">
        <f t="shared" si="89"/>
        <v>0</v>
      </c>
      <c r="AB260" s="36"/>
      <c r="AC260" s="36"/>
      <c r="AD260" s="29">
        <f t="shared" si="90"/>
        <v>0</v>
      </c>
    </row>
    <row r="261" spans="1:30" ht="15" customHeight="1" x14ac:dyDescent="0.25">
      <c r="A261" s="17">
        <f t="shared" si="73"/>
        <v>46355</v>
      </c>
      <c r="B261" s="18">
        <f t="shared" si="74"/>
        <v>3</v>
      </c>
      <c r="C261" s="18" t="str">
        <f t="shared" si="75"/>
        <v>Dec 2026</v>
      </c>
      <c r="D261" s="37">
        <v>46357</v>
      </c>
      <c r="E261" s="17" t="str">
        <f t="shared" si="76"/>
        <v>Tuesday</v>
      </c>
      <c r="F261" s="38"/>
      <c r="G261" s="39">
        <f t="shared" si="77"/>
        <v>0</v>
      </c>
      <c r="H261" s="38"/>
      <c r="I261" s="38">
        <f t="shared" si="78"/>
        <v>0</v>
      </c>
      <c r="J261" s="40"/>
      <c r="K261" s="41">
        <f t="shared" si="79"/>
        <v>0</v>
      </c>
      <c r="L261" s="40"/>
      <c r="M261" s="40">
        <f t="shared" si="80"/>
        <v>0</v>
      </c>
      <c r="N261" s="42"/>
      <c r="O261" s="43">
        <f t="shared" si="81"/>
        <v>0</v>
      </c>
      <c r="P261" s="42"/>
      <c r="Q261" s="42">
        <f t="shared" si="82"/>
        <v>0</v>
      </c>
      <c r="R261" s="44">
        <f t="shared" si="83"/>
        <v>0</v>
      </c>
      <c r="S261" s="45">
        <f t="shared" si="84"/>
        <v>0</v>
      </c>
      <c r="T261" s="44">
        <f t="shared" si="85"/>
        <v>0</v>
      </c>
      <c r="U261" s="46">
        <f t="shared" si="86"/>
        <v>0</v>
      </c>
      <c r="V261" s="47"/>
      <c r="W261" s="48">
        <f t="shared" si="87"/>
        <v>0</v>
      </c>
      <c r="X261" s="49"/>
      <c r="Y261" s="50">
        <f t="shared" si="88"/>
        <v>0</v>
      </c>
      <c r="Z261" s="51"/>
      <c r="AA261" s="52">
        <f t="shared" si="89"/>
        <v>0</v>
      </c>
      <c r="AB261" s="36"/>
      <c r="AC261" s="36"/>
      <c r="AD261" s="29">
        <f t="shared" si="90"/>
        <v>0</v>
      </c>
    </row>
    <row r="262" spans="1:30" ht="15" customHeight="1" x14ac:dyDescent="0.25">
      <c r="A262" s="17">
        <f t="shared" si="73"/>
        <v>46355</v>
      </c>
      <c r="B262" s="18">
        <f t="shared" si="74"/>
        <v>4</v>
      </c>
      <c r="C262" s="18" t="str">
        <f t="shared" si="75"/>
        <v>Dec 2026</v>
      </c>
      <c r="D262" s="37">
        <v>46358</v>
      </c>
      <c r="E262" s="17" t="str">
        <f t="shared" si="76"/>
        <v>Wednesday</v>
      </c>
      <c r="F262" s="38"/>
      <c r="G262" s="39">
        <f t="shared" si="77"/>
        <v>0</v>
      </c>
      <c r="H262" s="38"/>
      <c r="I262" s="38">
        <f t="shared" si="78"/>
        <v>0</v>
      </c>
      <c r="J262" s="40"/>
      <c r="K262" s="41">
        <f t="shared" si="79"/>
        <v>0</v>
      </c>
      <c r="L262" s="40"/>
      <c r="M262" s="40">
        <f t="shared" si="80"/>
        <v>0</v>
      </c>
      <c r="N262" s="42"/>
      <c r="O262" s="43">
        <f t="shared" si="81"/>
        <v>0</v>
      </c>
      <c r="P262" s="42"/>
      <c r="Q262" s="42">
        <f t="shared" si="82"/>
        <v>0</v>
      </c>
      <c r="R262" s="44">
        <f t="shared" si="83"/>
        <v>0</v>
      </c>
      <c r="S262" s="45">
        <f t="shared" si="84"/>
        <v>0</v>
      </c>
      <c r="T262" s="44">
        <f t="shared" si="85"/>
        <v>0</v>
      </c>
      <c r="U262" s="46">
        <f t="shared" si="86"/>
        <v>0</v>
      </c>
      <c r="V262" s="47"/>
      <c r="W262" s="48">
        <f t="shared" si="87"/>
        <v>0</v>
      </c>
      <c r="X262" s="49"/>
      <c r="Y262" s="50">
        <f t="shared" si="88"/>
        <v>0</v>
      </c>
      <c r="Z262" s="51"/>
      <c r="AA262" s="52">
        <f t="shared" si="89"/>
        <v>0</v>
      </c>
      <c r="AB262" s="36"/>
      <c r="AC262" s="36"/>
      <c r="AD262" s="29">
        <f t="shared" si="90"/>
        <v>0</v>
      </c>
    </row>
    <row r="263" spans="1:30" ht="15" customHeight="1" x14ac:dyDescent="0.25">
      <c r="A263" s="17">
        <f t="shared" si="73"/>
        <v>46355</v>
      </c>
      <c r="B263" s="18">
        <f t="shared" si="74"/>
        <v>5</v>
      </c>
      <c r="C263" s="18" t="str">
        <f t="shared" si="75"/>
        <v>Dec 2026</v>
      </c>
      <c r="D263" s="37">
        <v>46359</v>
      </c>
      <c r="E263" s="17" t="str">
        <f t="shared" si="76"/>
        <v>Thursday</v>
      </c>
      <c r="F263" s="38"/>
      <c r="G263" s="39">
        <f t="shared" si="77"/>
        <v>0</v>
      </c>
      <c r="H263" s="38"/>
      <c r="I263" s="38">
        <f t="shared" si="78"/>
        <v>0</v>
      </c>
      <c r="J263" s="40"/>
      <c r="K263" s="41">
        <f t="shared" si="79"/>
        <v>0</v>
      </c>
      <c r="L263" s="40"/>
      <c r="M263" s="40">
        <f t="shared" si="80"/>
        <v>0</v>
      </c>
      <c r="N263" s="42"/>
      <c r="O263" s="43">
        <f t="shared" si="81"/>
        <v>0</v>
      </c>
      <c r="P263" s="42"/>
      <c r="Q263" s="42">
        <f t="shared" si="82"/>
        <v>0</v>
      </c>
      <c r="R263" s="44">
        <f t="shared" si="83"/>
        <v>0</v>
      </c>
      <c r="S263" s="45">
        <f t="shared" si="84"/>
        <v>0</v>
      </c>
      <c r="T263" s="44">
        <f t="shared" si="85"/>
        <v>0</v>
      </c>
      <c r="U263" s="46">
        <f t="shared" si="86"/>
        <v>0</v>
      </c>
      <c r="V263" s="47"/>
      <c r="W263" s="48">
        <f t="shared" si="87"/>
        <v>0</v>
      </c>
      <c r="X263" s="49"/>
      <c r="Y263" s="50">
        <f t="shared" si="88"/>
        <v>0</v>
      </c>
      <c r="Z263" s="51"/>
      <c r="AA263" s="52">
        <f t="shared" si="89"/>
        <v>0</v>
      </c>
      <c r="AB263" s="36"/>
      <c r="AC263" s="36"/>
      <c r="AD263" s="29">
        <f t="shared" si="90"/>
        <v>0</v>
      </c>
    </row>
    <row r="264" spans="1:30" ht="15" customHeight="1" x14ac:dyDescent="0.25">
      <c r="A264" s="17">
        <f t="shared" si="73"/>
        <v>46355</v>
      </c>
      <c r="B264" s="18">
        <f t="shared" si="74"/>
        <v>6</v>
      </c>
      <c r="C264" s="18" t="str">
        <f t="shared" si="75"/>
        <v>Dec 2026</v>
      </c>
      <c r="D264" s="37">
        <v>46360</v>
      </c>
      <c r="E264" s="17" t="str">
        <f t="shared" si="76"/>
        <v>Friday</v>
      </c>
      <c r="F264" s="38"/>
      <c r="G264" s="39">
        <f t="shared" si="77"/>
        <v>0</v>
      </c>
      <c r="H264" s="38"/>
      <c r="I264" s="38">
        <f t="shared" si="78"/>
        <v>0</v>
      </c>
      <c r="J264" s="40"/>
      <c r="K264" s="41">
        <f t="shared" si="79"/>
        <v>0</v>
      </c>
      <c r="L264" s="40"/>
      <c r="M264" s="40">
        <f t="shared" si="80"/>
        <v>0</v>
      </c>
      <c r="N264" s="42"/>
      <c r="O264" s="43">
        <f t="shared" si="81"/>
        <v>0</v>
      </c>
      <c r="P264" s="42"/>
      <c r="Q264" s="42">
        <f t="shared" si="82"/>
        <v>0</v>
      </c>
      <c r="R264" s="44">
        <f t="shared" si="83"/>
        <v>0</v>
      </c>
      <c r="S264" s="45">
        <f t="shared" si="84"/>
        <v>0</v>
      </c>
      <c r="T264" s="44">
        <f t="shared" si="85"/>
        <v>0</v>
      </c>
      <c r="U264" s="46">
        <f t="shared" si="86"/>
        <v>0</v>
      </c>
      <c r="V264" s="47"/>
      <c r="W264" s="48">
        <f t="shared" si="87"/>
        <v>0</v>
      </c>
      <c r="X264" s="49"/>
      <c r="Y264" s="50">
        <f t="shared" si="88"/>
        <v>0</v>
      </c>
      <c r="Z264" s="51"/>
      <c r="AA264" s="52">
        <f t="shared" si="89"/>
        <v>0</v>
      </c>
      <c r="AB264" s="36"/>
      <c r="AC264" s="36"/>
      <c r="AD264" s="29">
        <f t="shared" si="90"/>
        <v>0</v>
      </c>
    </row>
    <row r="265" spans="1:30" ht="15" customHeight="1" x14ac:dyDescent="0.25">
      <c r="A265" s="17">
        <f t="shared" si="73"/>
        <v>46355</v>
      </c>
      <c r="B265" s="18">
        <f t="shared" si="74"/>
        <v>7</v>
      </c>
      <c r="C265" s="18" t="str">
        <f t="shared" si="75"/>
        <v>Dec 2026</v>
      </c>
      <c r="D265" s="37">
        <v>46361</v>
      </c>
      <c r="E265" s="17" t="str">
        <f t="shared" si="76"/>
        <v>Saturday</v>
      </c>
      <c r="F265" s="38"/>
      <c r="G265" s="39">
        <f t="shared" si="77"/>
        <v>0</v>
      </c>
      <c r="H265" s="38"/>
      <c r="I265" s="38">
        <f t="shared" si="78"/>
        <v>0</v>
      </c>
      <c r="J265" s="40"/>
      <c r="K265" s="41">
        <f t="shared" si="79"/>
        <v>0</v>
      </c>
      <c r="L265" s="40"/>
      <c r="M265" s="40">
        <f t="shared" si="80"/>
        <v>0</v>
      </c>
      <c r="N265" s="42"/>
      <c r="O265" s="43">
        <f t="shared" si="81"/>
        <v>0</v>
      </c>
      <c r="P265" s="42"/>
      <c r="Q265" s="42">
        <f t="shared" si="82"/>
        <v>0</v>
      </c>
      <c r="R265" s="44">
        <f t="shared" si="83"/>
        <v>0</v>
      </c>
      <c r="S265" s="45">
        <f t="shared" si="84"/>
        <v>0</v>
      </c>
      <c r="T265" s="44">
        <f t="shared" si="85"/>
        <v>0</v>
      </c>
      <c r="U265" s="46">
        <f t="shared" si="86"/>
        <v>0</v>
      </c>
      <c r="V265" s="47"/>
      <c r="W265" s="48">
        <f t="shared" si="87"/>
        <v>0</v>
      </c>
      <c r="X265" s="49"/>
      <c r="Y265" s="50">
        <f t="shared" si="88"/>
        <v>0</v>
      </c>
      <c r="Z265" s="51"/>
      <c r="AA265" s="52">
        <f t="shared" si="89"/>
        <v>0</v>
      </c>
      <c r="AB265" s="36"/>
      <c r="AC265" s="36"/>
      <c r="AD265" s="29">
        <f t="shared" si="90"/>
        <v>0</v>
      </c>
    </row>
    <row r="266" spans="1:30" ht="15" customHeight="1" x14ac:dyDescent="0.25">
      <c r="A266" s="17">
        <f t="shared" si="73"/>
        <v>46362</v>
      </c>
      <c r="B266" s="18">
        <f t="shared" si="74"/>
        <v>1</v>
      </c>
      <c r="C266" s="18" t="str">
        <f t="shared" si="75"/>
        <v>Dec 2026</v>
      </c>
      <c r="D266" s="37">
        <v>46362</v>
      </c>
      <c r="E266" s="17" t="str">
        <f t="shared" si="76"/>
        <v>Sunday</v>
      </c>
      <c r="F266" s="38"/>
      <c r="G266" s="39">
        <f t="shared" si="77"/>
        <v>0</v>
      </c>
      <c r="H266" s="38"/>
      <c r="I266" s="38">
        <f t="shared" si="78"/>
        <v>0</v>
      </c>
      <c r="J266" s="40"/>
      <c r="K266" s="41">
        <f t="shared" si="79"/>
        <v>0</v>
      </c>
      <c r="L266" s="40"/>
      <c r="M266" s="40">
        <f t="shared" si="80"/>
        <v>0</v>
      </c>
      <c r="N266" s="42"/>
      <c r="O266" s="43">
        <f t="shared" si="81"/>
        <v>0</v>
      </c>
      <c r="P266" s="42"/>
      <c r="Q266" s="42">
        <f t="shared" si="82"/>
        <v>0</v>
      </c>
      <c r="R266" s="44">
        <f t="shared" si="83"/>
        <v>0</v>
      </c>
      <c r="S266" s="45">
        <f t="shared" si="84"/>
        <v>0</v>
      </c>
      <c r="T266" s="44">
        <f t="shared" si="85"/>
        <v>0</v>
      </c>
      <c r="U266" s="46">
        <f t="shared" si="86"/>
        <v>0</v>
      </c>
      <c r="V266" s="47"/>
      <c r="W266" s="48">
        <f t="shared" si="87"/>
        <v>0</v>
      </c>
      <c r="X266" s="49"/>
      <c r="Y266" s="50">
        <f t="shared" si="88"/>
        <v>0</v>
      </c>
      <c r="Z266" s="51"/>
      <c r="AA266" s="52">
        <f t="shared" si="89"/>
        <v>0</v>
      </c>
      <c r="AB266" s="36"/>
      <c r="AC266" s="36"/>
      <c r="AD266" s="29">
        <f t="shared" si="90"/>
        <v>0</v>
      </c>
    </row>
    <row r="267" spans="1:30" ht="15" customHeight="1" x14ac:dyDescent="0.25">
      <c r="A267" s="17">
        <f t="shared" si="73"/>
        <v>46362</v>
      </c>
      <c r="B267" s="18">
        <f t="shared" si="74"/>
        <v>2</v>
      </c>
      <c r="C267" s="18" t="str">
        <f t="shared" si="75"/>
        <v>Dec 2026</v>
      </c>
      <c r="D267" s="37">
        <v>46363</v>
      </c>
      <c r="E267" s="17" t="str">
        <f t="shared" si="76"/>
        <v>Monday</v>
      </c>
      <c r="F267" s="38"/>
      <c r="G267" s="39">
        <f t="shared" si="77"/>
        <v>0</v>
      </c>
      <c r="H267" s="38"/>
      <c r="I267" s="38">
        <f t="shared" si="78"/>
        <v>0</v>
      </c>
      <c r="J267" s="40"/>
      <c r="K267" s="41">
        <f t="shared" si="79"/>
        <v>0</v>
      </c>
      <c r="L267" s="40"/>
      <c r="M267" s="40">
        <f t="shared" si="80"/>
        <v>0</v>
      </c>
      <c r="N267" s="42"/>
      <c r="O267" s="43">
        <f t="shared" si="81"/>
        <v>0</v>
      </c>
      <c r="P267" s="42"/>
      <c r="Q267" s="42">
        <f t="shared" si="82"/>
        <v>0</v>
      </c>
      <c r="R267" s="44">
        <f t="shared" si="83"/>
        <v>0</v>
      </c>
      <c r="S267" s="45">
        <f t="shared" si="84"/>
        <v>0</v>
      </c>
      <c r="T267" s="44">
        <f t="shared" si="85"/>
        <v>0</v>
      </c>
      <c r="U267" s="46">
        <f t="shared" si="86"/>
        <v>0</v>
      </c>
      <c r="V267" s="47"/>
      <c r="W267" s="48">
        <f t="shared" si="87"/>
        <v>0</v>
      </c>
      <c r="X267" s="49"/>
      <c r="Y267" s="50">
        <f t="shared" si="88"/>
        <v>0</v>
      </c>
      <c r="Z267" s="51"/>
      <c r="AA267" s="52">
        <f t="shared" si="89"/>
        <v>0</v>
      </c>
      <c r="AB267" s="36"/>
      <c r="AC267" s="36"/>
      <c r="AD267" s="29">
        <f t="shared" si="90"/>
        <v>0</v>
      </c>
    </row>
    <row r="268" spans="1:30" ht="15" customHeight="1" x14ac:dyDescent="0.25">
      <c r="A268" s="17">
        <f t="shared" si="73"/>
        <v>46362</v>
      </c>
      <c r="B268" s="18">
        <f t="shared" si="74"/>
        <v>3</v>
      </c>
      <c r="C268" s="18" t="str">
        <f t="shared" si="75"/>
        <v>Dec 2026</v>
      </c>
      <c r="D268" s="37">
        <v>46364</v>
      </c>
      <c r="E268" s="17" t="str">
        <f t="shared" si="76"/>
        <v>Tuesday</v>
      </c>
      <c r="F268" s="38"/>
      <c r="G268" s="39">
        <f t="shared" si="77"/>
        <v>0</v>
      </c>
      <c r="H268" s="38"/>
      <c r="I268" s="38">
        <f t="shared" si="78"/>
        <v>0</v>
      </c>
      <c r="J268" s="40"/>
      <c r="K268" s="41">
        <f t="shared" si="79"/>
        <v>0</v>
      </c>
      <c r="L268" s="40"/>
      <c r="M268" s="40">
        <f t="shared" si="80"/>
        <v>0</v>
      </c>
      <c r="N268" s="42"/>
      <c r="O268" s="43">
        <f t="shared" si="81"/>
        <v>0</v>
      </c>
      <c r="P268" s="42"/>
      <c r="Q268" s="42">
        <f t="shared" si="82"/>
        <v>0</v>
      </c>
      <c r="R268" s="44">
        <f t="shared" si="83"/>
        <v>0</v>
      </c>
      <c r="S268" s="45">
        <f t="shared" si="84"/>
        <v>0</v>
      </c>
      <c r="T268" s="44">
        <f t="shared" si="85"/>
        <v>0</v>
      </c>
      <c r="U268" s="46">
        <f t="shared" si="86"/>
        <v>0</v>
      </c>
      <c r="V268" s="47"/>
      <c r="W268" s="48">
        <f t="shared" si="87"/>
        <v>0</v>
      </c>
      <c r="X268" s="49"/>
      <c r="Y268" s="50">
        <f t="shared" si="88"/>
        <v>0</v>
      </c>
      <c r="Z268" s="51"/>
      <c r="AA268" s="52">
        <f t="shared" si="89"/>
        <v>0</v>
      </c>
      <c r="AB268" s="36"/>
      <c r="AC268" s="36"/>
      <c r="AD268" s="29">
        <f t="shared" si="90"/>
        <v>0</v>
      </c>
    </row>
    <row r="269" spans="1:30" ht="15" customHeight="1" x14ac:dyDescent="0.25">
      <c r="A269" s="17">
        <f t="shared" si="73"/>
        <v>46362</v>
      </c>
      <c r="B269" s="18">
        <f t="shared" si="74"/>
        <v>4</v>
      </c>
      <c r="C269" s="18" t="str">
        <f t="shared" si="75"/>
        <v>Dec 2026</v>
      </c>
      <c r="D269" s="37">
        <v>46365</v>
      </c>
      <c r="E269" s="17" t="str">
        <f t="shared" si="76"/>
        <v>Wednesday</v>
      </c>
      <c r="F269" s="38"/>
      <c r="G269" s="39">
        <f t="shared" si="77"/>
        <v>0</v>
      </c>
      <c r="H269" s="38"/>
      <c r="I269" s="38">
        <f t="shared" si="78"/>
        <v>0</v>
      </c>
      <c r="J269" s="40"/>
      <c r="K269" s="41">
        <f t="shared" si="79"/>
        <v>0</v>
      </c>
      <c r="L269" s="40"/>
      <c r="M269" s="40">
        <f t="shared" si="80"/>
        <v>0</v>
      </c>
      <c r="N269" s="42"/>
      <c r="O269" s="43">
        <f t="shared" si="81"/>
        <v>0</v>
      </c>
      <c r="P269" s="42"/>
      <c r="Q269" s="42">
        <f t="shared" si="82"/>
        <v>0</v>
      </c>
      <c r="R269" s="44">
        <f t="shared" si="83"/>
        <v>0</v>
      </c>
      <c r="S269" s="45">
        <f t="shared" si="84"/>
        <v>0</v>
      </c>
      <c r="T269" s="44">
        <f t="shared" si="85"/>
        <v>0</v>
      </c>
      <c r="U269" s="46">
        <f t="shared" si="86"/>
        <v>0</v>
      </c>
      <c r="V269" s="47"/>
      <c r="W269" s="48">
        <f t="shared" si="87"/>
        <v>0</v>
      </c>
      <c r="X269" s="49"/>
      <c r="Y269" s="50">
        <f t="shared" si="88"/>
        <v>0</v>
      </c>
      <c r="Z269" s="51"/>
      <c r="AA269" s="52">
        <f t="shared" si="89"/>
        <v>0</v>
      </c>
      <c r="AB269" s="36"/>
      <c r="AC269" s="36"/>
      <c r="AD269" s="29">
        <f t="shared" si="90"/>
        <v>0</v>
      </c>
    </row>
    <row r="270" spans="1:30" ht="15" customHeight="1" x14ac:dyDescent="0.25">
      <c r="A270" s="17">
        <f t="shared" si="73"/>
        <v>46362</v>
      </c>
      <c r="B270" s="18">
        <f t="shared" si="74"/>
        <v>5</v>
      </c>
      <c r="C270" s="18" t="str">
        <f t="shared" si="75"/>
        <v>Dec 2026</v>
      </c>
      <c r="D270" s="37">
        <v>46366</v>
      </c>
      <c r="E270" s="17" t="str">
        <f t="shared" si="76"/>
        <v>Thursday</v>
      </c>
      <c r="F270" s="38"/>
      <c r="G270" s="39">
        <f t="shared" si="77"/>
        <v>0</v>
      </c>
      <c r="H270" s="38"/>
      <c r="I270" s="38">
        <f t="shared" si="78"/>
        <v>0</v>
      </c>
      <c r="J270" s="40"/>
      <c r="K270" s="41">
        <f t="shared" si="79"/>
        <v>0</v>
      </c>
      <c r="L270" s="40"/>
      <c r="M270" s="40">
        <f t="shared" si="80"/>
        <v>0</v>
      </c>
      <c r="N270" s="42"/>
      <c r="O270" s="43">
        <f t="shared" si="81"/>
        <v>0</v>
      </c>
      <c r="P270" s="42"/>
      <c r="Q270" s="42">
        <f t="shared" si="82"/>
        <v>0</v>
      </c>
      <c r="R270" s="44">
        <f t="shared" si="83"/>
        <v>0</v>
      </c>
      <c r="S270" s="45">
        <f t="shared" si="84"/>
        <v>0</v>
      </c>
      <c r="T270" s="44">
        <f t="shared" si="85"/>
        <v>0</v>
      </c>
      <c r="U270" s="46">
        <f t="shared" si="86"/>
        <v>0</v>
      </c>
      <c r="V270" s="47"/>
      <c r="W270" s="48">
        <f t="shared" si="87"/>
        <v>0</v>
      </c>
      <c r="X270" s="49"/>
      <c r="Y270" s="50">
        <f t="shared" si="88"/>
        <v>0</v>
      </c>
      <c r="Z270" s="51"/>
      <c r="AA270" s="52">
        <f t="shared" si="89"/>
        <v>0</v>
      </c>
      <c r="AB270" s="36"/>
      <c r="AC270" s="36"/>
      <c r="AD270" s="29">
        <f t="shared" si="90"/>
        <v>0</v>
      </c>
    </row>
    <row r="271" spans="1:30" ht="15" customHeight="1" x14ac:dyDescent="0.25">
      <c r="A271" s="17">
        <f t="shared" si="73"/>
        <v>46362</v>
      </c>
      <c r="B271" s="18">
        <f t="shared" si="74"/>
        <v>6</v>
      </c>
      <c r="C271" s="18" t="str">
        <f t="shared" si="75"/>
        <v>Dec 2026</v>
      </c>
      <c r="D271" s="37">
        <v>46367</v>
      </c>
      <c r="E271" s="17" t="str">
        <f t="shared" si="76"/>
        <v>Friday</v>
      </c>
      <c r="F271" s="38"/>
      <c r="G271" s="39">
        <f t="shared" si="77"/>
        <v>0</v>
      </c>
      <c r="H271" s="38"/>
      <c r="I271" s="38">
        <f t="shared" si="78"/>
        <v>0</v>
      </c>
      <c r="J271" s="40"/>
      <c r="K271" s="41">
        <f t="shared" si="79"/>
        <v>0</v>
      </c>
      <c r="L271" s="40"/>
      <c r="M271" s="40">
        <f t="shared" si="80"/>
        <v>0</v>
      </c>
      <c r="N271" s="42"/>
      <c r="O271" s="43">
        <f t="shared" si="81"/>
        <v>0</v>
      </c>
      <c r="P271" s="42"/>
      <c r="Q271" s="42">
        <f t="shared" si="82"/>
        <v>0</v>
      </c>
      <c r="R271" s="44">
        <f t="shared" si="83"/>
        <v>0</v>
      </c>
      <c r="S271" s="45">
        <f t="shared" si="84"/>
        <v>0</v>
      </c>
      <c r="T271" s="44">
        <f t="shared" si="85"/>
        <v>0</v>
      </c>
      <c r="U271" s="46">
        <f t="shared" si="86"/>
        <v>0</v>
      </c>
      <c r="V271" s="47"/>
      <c r="W271" s="48">
        <f t="shared" si="87"/>
        <v>0</v>
      </c>
      <c r="X271" s="49"/>
      <c r="Y271" s="50">
        <f t="shared" si="88"/>
        <v>0</v>
      </c>
      <c r="Z271" s="51"/>
      <c r="AA271" s="52">
        <f t="shared" si="89"/>
        <v>0</v>
      </c>
      <c r="AB271" s="36"/>
      <c r="AC271" s="36"/>
      <c r="AD271" s="29">
        <f t="shared" si="90"/>
        <v>0</v>
      </c>
    </row>
    <row r="272" spans="1:30" ht="15" customHeight="1" x14ac:dyDescent="0.25">
      <c r="A272" s="17">
        <f t="shared" si="73"/>
        <v>46362</v>
      </c>
      <c r="B272" s="18">
        <f t="shared" si="74"/>
        <v>7</v>
      </c>
      <c r="C272" s="18" t="str">
        <f t="shared" si="75"/>
        <v>Dec 2026</v>
      </c>
      <c r="D272" s="37">
        <v>46368</v>
      </c>
      <c r="E272" s="17" t="str">
        <f t="shared" si="76"/>
        <v>Saturday</v>
      </c>
      <c r="F272" s="38"/>
      <c r="G272" s="39">
        <f t="shared" si="77"/>
        <v>0</v>
      </c>
      <c r="H272" s="38"/>
      <c r="I272" s="38">
        <f t="shared" si="78"/>
        <v>0</v>
      </c>
      <c r="J272" s="40"/>
      <c r="K272" s="41">
        <f t="shared" si="79"/>
        <v>0</v>
      </c>
      <c r="L272" s="40"/>
      <c r="M272" s="40">
        <f t="shared" si="80"/>
        <v>0</v>
      </c>
      <c r="N272" s="42"/>
      <c r="O272" s="43">
        <f t="shared" si="81"/>
        <v>0</v>
      </c>
      <c r="P272" s="42"/>
      <c r="Q272" s="42">
        <f t="shared" si="82"/>
        <v>0</v>
      </c>
      <c r="R272" s="44">
        <f t="shared" si="83"/>
        <v>0</v>
      </c>
      <c r="S272" s="45">
        <f t="shared" si="84"/>
        <v>0</v>
      </c>
      <c r="T272" s="44">
        <f t="shared" si="85"/>
        <v>0</v>
      </c>
      <c r="U272" s="46">
        <f t="shared" si="86"/>
        <v>0</v>
      </c>
      <c r="V272" s="47"/>
      <c r="W272" s="48">
        <f t="shared" si="87"/>
        <v>0</v>
      </c>
      <c r="X272" s="49"/>
      <c r="Y272" s="50">
        <f t="shared" si="88"/>
        <v>0</v>
      </c>
      <c r="Z272" s="51"/>
      <c r="AA272" s="52">
        <f t="shared" si="89"/>
        <v>0</v>
      </c>
      <c r="AB272" s="36"/>
      <c r="AC272" s="36"/>
      <c r="AD272" s="29">
        <f t="shared" si="90"/>
        <v>0</v>
      </c>
    </row>
    <row r="273" spans="1:30" ht="15" customHeight="1" x14ac:dyDescent="0.25">
      <c r="A273" s="17">
        <f t="shared" si="73"/>
        <v>46369</v>
      </c>
      <c r="B273" s="18">
        <f t="shared" si="74"/>
        <v>1</v>
      </c>
      <c r="C273" s="18" t="str">
        <f t="shared" si="75"/>
        <v>Dec 2026</v>
      </c>
      <c r="D273" s="37">
        <v>46369</v>
      </c>
      <c r="E273" s="17" t="str">
        <f t="shared" si="76"/>
        <v>Sunday</v>
      </c>
      <c r="F273" s="38"/>
      <c r="G273" s="39">
        <f t="shared" si="77"/>
        <v>0</v>
      </c>
      <c r="H273" s="38"/>
      <c r="I273" s="38">
        <f t="shared" si="78"/>
        <v>0</v>
      </c>
      <c r="J273" s="40"/>
      <c r="K273" s="41">
        <f t="shared" si="79"/>
        <v>0</v>
      </c>
      <c r="L273" s="40"/>
      <c r="M273" s="40">
        <f t="shared" si="80"/>
        <v>0</v>
      </c>
      <c r="N273" s="42"/>
      <c r="O273" s="43">
        <f t="shared" si="81"/>
        <v>0</v>
      </c>
      <c r="P273" s="42"/>
      <c r="Q273" s="42">
        <f t="shared" si="82"/>
        <v>0</v>
      </c>
      <c r="R273" s="44">
        <f t="shared" si="83"/>
        <v>0</v>
      </c>
      <c r="S273" s="45">
        <f t="shared" si="84"/>
        <v>0</v>
      </c>
      <c r="T273" s="44">
        <f t="shared" si="85"/>
        <v>0</v>
      </c>
      <c r="U273" s="46">
        <f t="shared" si="86"/>
        <v>0</v>
      </c>
      <c r="V273" s="47"/>
      <c r="W273" s="48">
        <f t="shared" si="87"/>
        <v>0</v>
      </c>
      <c r="X273" s="49"/>
      <c r="Y273" s="50">
        <f t="shared" si="88"/>
        <v>0</v>
      </c>
      <c r="Z273" s="51"/>
      <c r="AA273" s="52">
        <f t="shared" si="89"/>
        <v>0</v>
      </c>
      <c r="AB273" s="36"/>
      <c r="AC273" s="36"/>
      <c r="AD273" s="29">
        <f t="shared" si="90"/>
        <v>0</v>
      </c>
    </row>
    <row r="274" spans="1:30" ht="15" customHeight="1" x14ac:dyDescent="0.25">
      <c r="A274" s="17">
        <f t="shared" si="73"/>
        <v>46369</v>
      </c>
      <c r="B274" s="18">
        <f t="shared" si="74"/>
        <v>2</v>
      </c>
      <c r="C274" s="18" t="str">
        <f t="shared" si="75"/>
        <v>Dec 2026</v>
      </c>
      <c r="D274" s="37">
        <v>46370</v>
      </c>
      <c r="E274" s="17" t="str">
        <f t="shared" si="76"/>
        <v>Monday</v>
      </c>
      <c r="F274" s="38"/>
      <c r="G274" s="39">
        <f t="shared" si="77"/>
        <v>0</v>
      </c>
      <c r="H274" s="38"/>
      <c r="I274" s="38">
        <f t="shared" si="78"/>
        <v>0</v>
      </c>
      <c r="J274" s="40"/>
      <c r="K274" s="41">
        <f t="shared" si="79"/>
        <v>0</v>
      </c>
      <c r="L274" s="40"/>
      <c r="M274" s="40">
        <f t="shared" si="80"/>
        <v>0</v>
      </c>
      <c r="N274" s="42"/>
      <c r="O274" s="43">
        <f t="shared" si="81"/>
        <v>0</v>
      </c>
      <c r="P274" s="42"/>
      <c r="Q274" s="42">
        <f t="shared" si="82"/>
        <v>0</v>
      </c>
      <c r="R274" s="44">
        <f t="shared" si="83"/>
        <v>0</v>
      </c>
      <c r="S274" s="45">
        <f t="shared" si="84"/>
        <v>0</v>
      </c>
      <c r="T274" s="44">
        <f t="shared" si="85"/>
        <v>0</v>
      </c>
      <c r="U274" s="46">
        <f t="shared" si="86"/>
        <v>0</v>
      </c>
      <c r="V274" s="47"/>
      <c r="W274" s="48">
        <f t="shared" si="87"/>
        <v>0</v>
      </c>
      <c r="X274" s="49"/>
      <c r="Y274" s="50">
        <f t="shared" si="88"/>
        <v>0</v>
      </c>
      <c r="Z274" s="51"/>
      <c r="AA274" s="52">
        <f t="shared" si="89"/>
        <v>0</v>
      </c>
      <c r="AB274" s="36"/>
      <c r="AC274" s="36"/>
      <c r="AD274" s="29">
        <f t="shared" si="90"/>
        <v>0</v>
      </c>
    </row>
    <row r="275" spans="1:30" ht="15" customHeight="1" x14ac:dyDescent="0.25">
      <c r="A275" s="17">
        <f t="shared" si="73"/>
        <v>46369</v>
      </c>
      <c r="B275" s="18">
        <f t="shared" si="74"/>
        <v>3</v>
      </c>
      <c r="C275" s="18" t="str">
        <f t="shared" si="75"/>
        <v>Dec 2026</v>
      </c>
      <c r="D275" s="37">
        <v>46371</v>
      </c>
      <c r="E275" s="17" t="str">
        <f t="shared" si="76"/>
        <v>Tuesday</v>
      </c>
      <c r="F275" s="38"/>
      <c r="G275" s="39">
        <f t="shared" si="77"/>
        <v>0</v>
      </c>
      <c r="H275" s="38"/>
      <c r="I275" s="38">
        <f t="shared" si="78"/>
        <v>0</v>
      </c>
      <c r="J275" s="40"/>
      <c r="K275" s="41">
        <f t="shared" si="79"/>
        <v>0</v>
      </c>
      <c r="L275" s="40"/>
      <c r="M275" s="40">
        <f t="shared" si="80"/>
        <v>0</v>
      </c>
      <c r="N275" s="42"/>
      <c r="O275" s="43">
        <f t="shared" si="81"/>
        <v>0</v>
      </c>
      <c r="P275" s="42"/>
      <c r="Q275" s="42">
        <f t="shared" si="82"/>
        <v>0</v>
      </c>
      <c r="R275" s="44">
        <f t="shared" si="83"/>
        <v>0</v>
      </c>
      <c r="S275" s="45">
        <f t="shared" si="84"/>
        <v>0</v>
      </c>
      <c r="T275" s="44">
        <f t="shared" si="85"/>
        <v>0</v>
      </c>
      <c r="U275" s="46">
        <f t="shared" si="86"/>
        <v>0</v>
      </c>
      <c r="V275" s="47"/>
      <c r="W275" s="48">
        <f t="shared" si="87"/>
        <v>0</v>
      </c>
      <c r="X275" s="49"/>
      <c r="Y275" s="50">
        <f t="shared" si="88"/>
        <v>0</v>
      </c>
      <c r="Z275" s="51"/>
      <c r="AA275" s="52">
        <f t="shared" si="89"/>
        <v>0</v>
      </c>
      <c r="AB275" s="36"/>
      <c r="AC275" s="36"/>
      <c r="AD275" s="29">
        <f t="shared" si="90"/>
        <v>0</v>
      </c>
    </row>
    <row r="276" spans="1:30" ht="15" customHeight="1" x14ac:dyDescent="0.25">
      <c r="A276" s="17">
        <f t="shared" si="73"/>
        <v>46369</v>
      </c>
      <c r="B276" s="18">
        <f t="shared" si="74"/>
        <v>4</v>
      </c>
      <c r="C276" s="18" t="str">
        <f t="shared" si="75"/>
        <v>Dec 2026</v>
      </c>
      <c r="D276" s="37">
        <v>46372</v>
      </c>
      <c r="E276" s="17" t="str">
        <f t="shared" si="76"/>
        <v>Wednesday</v>
      </c>
      <c r="F276" s="38"/>
      <c r="G276" s="39">
        <f t="shared" si="77"/>
        <v>0</v>
      </c>
      <c r="H276" s="38"/>
      <c r="I276" s="38">
        <f t="shared" si="78"/>
        <v>0</v>
      </c>
      <c r="J276" s="40"/>
      <c r="K276" s="41">
        <f t="shared" si="79"/>
        <v>0</v>
      </c>
      <c r="L276" s="40"/>
      <c r="M276" s="40">
        <f t="shared" si="80"/>
        <v>0</v>
      </c>
      <c r="N276" s="42"/>
      <c r="O276" s="43">
        <f t="shared" si="81"/>
        <v>0</v>
      </c>
      <c r="P276" s="42"/>
      <c r="Q276" s="42">
        <f t="shared" si="82"/>
        <v>0</v>
      </c>
      <c r="R276" s="44">
        <f t="shared" si="83"/>
        <v>0</v>
      </c>
      <c r="S276" s="45">
        <f t="shared" si="84"/>
        <v>0</v>
      </c>
      <c r="T276" s="44">
        <f t="shared" si="85"/>
        <v>0</v>
      </c>
      <c r="U276" s="46">
        <f t="shared" si="86"/>
        <v>0</v>
      </c>
      <c r="V276" s="47"/>
      <c r="W276" s="48">
        <f t="shared" si="87"/>
        <v>0</v>
      </c>
      <c r="X276" s="49"/>
      <c r="Y276" s="50">
        <f t="shared" si="88"/>
        <v>0</v>
      </c>
      <c r="Z276" s="51"/>
      <c r="AA276" s="52">
        <f t="shared" si="89"/>
        <v>0</v>
      </c>
      <c r="AB276" s="36"/>
      <c r="AC276" s="36"/>
      <c r="AD276" s="29">
        <f t="shared" si="90"/>
        <v>0</v>
      </c>
    </row>
    <row r="277" spans="1:30" ht="15" customHeight="1" x14ac:dyDescent="0.25">
      <c r="A277" s="17">
        <f t="shared" si="73"/>
        <v>46369</v>
      </c>
      <c r="B277" s="18">
        <f t="shared" si="74"/>
        <v>5</v>
      </c>
      <c r="C277" s="18" t="str">
        <f t="shared" si="75"/>
        <v>Dec 2026</v>
      </c>
      <c r="D277" s="37">
        <v>46373</v>
      </c>
      <c r="E277" s="17" t="str">
        <f t="shared" si="76"/>
        <v>Thursday</v>
      </c>
      <c r="F277" s="38"/>
      <c r="G277" s="39">
        <f t="shared" si="77"/>
        <v>0</v>
      </c>
      <c r="H277" s="38"/>
      <c r="I277" s="38">
        <f t="shared" si="78"/>
        <v>0</v>
      </c>
      <c r="J277" s="40"/>
      <c r="K277" s="41">
        <f t="shared" si="79"/>
        <v>0</v>
      </c>
      <c r="L277" s="40"/>
      <c r="M277" s="40">
        <f t="shared" si="80"/>
        <v>0</v>
      </c>
      <c r="N277" s="42"/>
      <c r="O277" s="43">
        <f t="shared" si="81"/>
        <v>0</v>
      </c>
      <c r="P277" s="42"/>
      <c r="Q277" s="42">
        <f t="shared" si="82"/>
        <v>0</v>
      </c>
      <c r="R277" s="44">
        <f t="shared" si="83"/>
        <v>0</v>
      </c>
      <c r="S277" s="45">
        <f t="shared" si="84"/>
        <v>0</v>
      </c>
      <c r="T277" s="44">
        <f t="shared" si="85"/>
        <v>0</v>
      </c>
      <c r="U277" s="46">
        <f t="shared" si="86"/>
        <v>0</v>
      </c>
      <c r="V277" s="47"/>
      <c r="W277" s="48">
        <f t="shared" si="87"/>
        <v>0</v>
      </c>
      <c r="X277" s="49"/>
      <c r="Y277" s="50">
        <f t="shared" si="88"/>
        <v>0</v>
      </c>
      <c r="Z277" s="51"/>
      <c r="AA277" s="52">
        <f t="shared" si="89"/>
        <v>0</v>
      </c>
      <c r="AB277" s="36"/>
      <c r="AC277" s="36"/>
      <c r="AD277" s="29">
        <f t="shared" si="90"/>
        <v>0</v>
      </c>
    </row>
    <row r="278" spans="1:30" ht="15" customHeight="1" x14ac:dyDescent="0.25">
      <c r="A278" s="17">
        <f t="shared" si="73"/>
        <v>46369</v>
      </c>
      <c r="B278" s="18">
        <f t="shared" si="74"/>
        <v>6</v>
      </c>
      <c r="C278" s="18" t="str">
        <f t="shared" si="75"/>
        <v>Dec 2026</v>
      </c>
      <c r="D278" s="37">
        <v>46374</v>
      </c>
      <c r="E278" s="17" t="str">
        <f t="shared" si="76"/>
        <v>Friday</v>
      </c>
      <c r="F278" s="38"/>
      <c r="G278" s="39">
        <f t="shared" si="77"/>
        <v>0</v>
      </c>
      <c r="H278" s="38"/>
      <c r="I278" s="38">
        <f t="shared" si="78"/>
        <v>0</v>
      </c>
      <c r="J278" s="40"/>
      <c r="K278" s="41">
        <f t="shared" si="79"/>
        <v>0</v>
      </c>
      <c r="L278" s="40"/>
      <c r="M278" s="40">
        <f t="shared" si="80"/>
        <v>0</v>
      </c>
      <c r="N278" s="42"/>
      <c r="O278" s="43">
        <f t="shared" si="81"/>
        <v>0</v>
      </c>
      <c r="P278" s="42"/>
      <c r="Q278" s="42">
        <f t="shared" si="82"/>
        <v>0</v>
      </c>
      <c r="R278" s="44">
        <f t="shared" si="83"/>
        <v>0</v>
      </c>
      <c r="S278" s="45">
        <f t="shared" si="84"/>
        <v>0</v>
      </c>
      <c r="T278" s="44">
        <f t="shared" si="85"/>
        <v>0</v>
      </c>
      <c r="U278" s="46">
        <f t="shared" si="86"/>
        <v>0</v>
      </c>
      <c r="V278" s="47"/>
      <c r="W278" s="48">
        <f t="shared" si="87"/>
        <v>0</v>
      </c>
      <c r="X278" s="49"/>
      <c r="Y278" s="50">
        <f t="shared" si="88"/>
        <v>0</v>
      </c>
      <c r="Z278" s="51"/>
      <c r="AA278" s="52">
        <f t="shared" si="89"/>
        <v>0</v>
      </c>
      <c r="AB278" s="36"/>
      <c r="AC278" s="36"/>
      <c r="AD278" s="29">
        <f t="shared" si="90"/>
        <v>0</v>
      </c>
    </row>
    <row r="279" spans="1:30" ht="15" customHeight="1" x14ac:dyDescent="0.25">
      <c r="A279" s="17">
        <f t="shared" si="73"/>
        <v>46369</v>
      </c>
      <c r="B279" s="18">
        <f t="shared" si="74"/>
        <v>7</v>
      </c>
      <c r="C279" s="18" t="str">
        <f t="shared" si="75"/>
        <v>Dec 2026</v>
      </c>
      <c r="D279" s="37">
        <v>46375</v>
      </c>
      <c r="E279" s="17" t="str">
        <f t="shared" si="76"/>
        <v>Saturday</v>
      </c>
      <c r="F279" s="38"/>
      <c r="G279" s="39">
        <f t="shared" si="77"/>
        <v>0</v>
      </c>
      <c r="H279" s="38"/>
      <c r="I279" s="38">
        <f t="shared" si="78"/>
        <v>0</v>
      </c>
      <c r="J279" s="40"/>
      <c r="K279" s="41">
        <f t="shared" si="79"/>
        <v>0</v>
      </c>
      <c r="L279" s="40"/>
      <c r="M279" s="40">
        <f t="shared" si="80"/>
        <v>0</v>
      </c>
      <c r="N279" s="42"/>
      <c r="O279" s="43">
        <f t="shared" si="81"/>
        <v>0</v>
      </c>
      <c r="P279" s="42"/>
      <c r="Q279" s="42">
        <f t="shared" si="82"/>
        <v>0</v>
      </c>
      <c r="R279" s="44">
        <f t="shared" si="83"/>
        <v>0</v>
      </c>
      <c r="S279" s="45">
        <f t="shared" si="84"/>
        <v>0</v>
      </c>
      <c r="T279" s="44">
        <f t="shared" si="85"/>
        <v>0</v>
      </c>
      <c r="U279" s="46">
        <f t="shared" si="86"/>
        <v>0</v>
      </c>
      <c r="V279" s="47"/>
      <c r="W279" s="48">
        <f t="shared" si="87"/>
        <v>0</v>
      </c>
      <c r="X279" s="49"/>
      <c r="Y279" s="50">
        <f t="shared" si="88"/>
        <v>0</v>
      </c>
      <c r="Z279" s="51"/>
      <c r="AA279" s="52">
        <f t="shared" si="89"/>
        <v>0</v>
      </c>
      <c r="AB279" s="36"/>
      <c r="AC279" s="36"/>
      <c r="AD279" s="29">
        <f t="shared" si="90"/>
        <v>0</v>
      </c>
    </row>
    <row r="280" spans="1:30" ht="15" customHeight="1" x14ac:dyDescent="0.25">
      <c r="A280" s="17">
        <f t="shared" si="73"/>
        <v>46376</v>
      </c>
      <c r="B280" s="18">
        <f t="shared" si="74"/>
        <v>1</v>
      </c>
      <c r="C280" s="18" t="str">
        <f t="shared" si="75"/>
        <v>Dec 2026</v>
      </c>
      <c r="D280" s="37">
        <v>46376</v>
      </c>
      <c r="E280" s="17" t="str">
        <f t="shared" si="76"/>
        <v>Sunday</v>
      </c>
      <c r="F280" s="38"/>
      <c r="G280" s="39">
        <f t="shared" si="77"/>
        <v>0</v>
      </c>
      <c r="H280" s="38"/>
      <c r="I280" s="38">
        <f t="shared" si="78"/>
        <v>0</v>
      </c>
      <c r="J280" s="40"/>
      <c r="K280" s="41">
        <f t="shared" si="79"/>
        <v>0</v>
      </c>
      <c r="L280" s="40"/>
      <c r="M280" s="40">
        <f t="shared" si="80"/>
        <v>0</v>
      </c>
      <c r="N280" s="42"/>
      <c r="O280" s="43">
        <f t="shared" si="81"/>
        <v>0</v>
      </c>
      <c r="P280" s="42"/>
      <c r="Q280" s="42">
        <f t="shared" si="82"/>
        <v>0</v>
      </c>
      <c r="R280" s="44">
        <f t="shared" si="83"/>
        <v>0</v>
      </c>
      <c r="S280" s="45">
        <f t="shared" si="84"/>
        <v>0</v>
      </c>
      <c r="T280" s="44">
        <f t="shared" si="85"/>
        <v>0</v>
      </c>
      <c r="U280" s="46">
        <f t="shared" si="86"/>
        <v>0</v>
      </c>
      <c r="V280" s="47"/>
      <c r="W280" s="48">
        <f t="shared" si="87"/>
        <v>0</v>
      </c>
      <c r="X280" s="49"/>
      <c r="Y280" s="50">
        <f t="shared" si="88"/>
        <v>0</v>
      </c>
      <c r="Z280" s="51"/>
      <c r="AA280" s="52">
        <f t="shared" si="89"/>
        <v>0</v>
      </c>
      <c r="AB280" s="36"/>
      <c r="AC280" s="36"/>
      <c r="AD280" s="29">
        <f t="shared" si="90"/>
        <v>0</v>
      </c>
    </row>
    <row r="281" spans="1:30" ht="15" customHeight="1" x14ac:dyDescent="0.25">
      <c r="A281" s="17">
        <f t="shared" si="73"/>
        <v>46376</v>
      </c>
      <c r="B281" s="18">
        <f t="shared" si="74"/>
        <v>2</v>
      </c>
      <c r="C281" s="18" t="str">
        <f t="shared" si="75"/>
        <v>Dec 2026</v>
      </c>
      <c r="D281" s="37">
        <v>46377</v>
      </c>
      <c r="E281" s="17" t="str">
        <f t="shared" si="76"/>
        <v>Monday</v>
      </c>
      <c r="F281" s="38"/>
      <c r="G281" s="39">
        <f t="shared" si="77"/>
        <v>0</v>
      </c>
      <c r="H281" s="38"/>
      <c r="I281" s="38">
        <f t="shared" si="78"/>
        <v>0</v>
      </c>
      <c r="J281" s="40"/>
      <c r="K281" s="41">
        <f t="shared" si="79"/>
        <v>0</v>
      </c>
      <c r="L281" s="40"/>
      <c r="M281" s="40">
        <f t="shared" si="80"/>
        <v>0</v>
      </c>
      <c r="N281" s="42"/>
      <c r="O281" s="43">
        <f t="shared" si="81"/>
        <v>0</v>
      </c>
      <c r="P281" s="42"/>
      <c r="Q281" s="42">
        <f t="shared" si="82"/>
        <v>0</v>
      </c>
      <c r="R281" s="44">
        <f t="shared" si="83"/>
        <v>0</v>
      </c>
      <c r="S281" s="45">
        <f t="shared" si="84"/>
        <v>0</v>
      </c>
      <c r="T281" s="44">
        <f t="shared" si="85"/>
        <v>0</v>
      </c>
      <c r="U281" s="46">
        <f t="shared" si="86"/>
        <v>0</v>
      </c>
      <c r="V281" s="47"/>
      <c r="W281" s="48">
        <f t="shared" si="87"/>
        <v>0</v>
      </c>
      <c r="X281" s="49"/>
      <c r="Y281" s="50">
        <f t="shared" si="88"/>
        <v>0</v>
      </c>
      <c r="Z281" s="51"/>
      <c r="AA281" s="52">
        <f t="shared" si="89"/>
        <v>0</v>
      </c>
      <c r="AB281" s="36"/>
      <c r="AC281" s="36"/>
      <c r="AD281" s="29">
        <f t="shared" si="90"/>
        <v>0</v>
      </c>
    </row>
    <row r="282" spans="1:30" ht="15" customHeight="1" x14ac:dyDescent="0.25">
      <c r="A282" s="17">
        <f t="shared" si="73"/>
        <v>46376</v>
      </c>
      <c r="B282" s="18">
        <f t="shared" si="74"/>
        <v>3</v>
      </c>
      <c r="C282" s="18" t="str">
        <f t="shared" si="75"/>
        <v>Dec 2026</v>
      </c>
      <c r="D282" s="37">
        <v>46378</v>
      </c>
      <c r="E282" s="17" t="str">
        <f t="shared" si="76"/>
        <v>Tuesday</v>
      </c>
      <c r="F282" s="38"/>
      <c r="G282" s="39">
        <f t="shared" si="77"/>
        <v>0</v>
      </c>
      <c r="H282" s="38"/>
      <c r="I282" s="38">
        <f t="shared" si="78"/>
        <v>0</v>
      </c>
      <c r="J282" s="40"/>
      <c r="K282" s="41">
        <f t="shared" si="79"/>
        <v>0</v>
      </c>
      <c r="L282" s="40"/>
      <c r="M282" s="40">
        <f t="shared" si="80"/>
        <v>0</v>
      </c>
      <c r="N282" s="42"/>
      <c r="O282" s="43">
        <f t="shared" si="81"/>
        <v>0</v>
      </c>
      <c r="P282" s="42"/>
      <c r="Q282" s="42">
        <f t="shared" si="82"/>
        <v>0</v>
      </c>
      <c r="R282" s="44">
        <f t="shared" si="83"/>
        <v>0</v>
      </c>
      <c r="S282" s="45">
        <f t="shared" si="84"/>
        <v>0</v>
      </c>
      <c r="T282" s="44">
        <f t="shared" si="85"/>
        <v>0</v>
      </c>
      <c r="U282" s="46">
        <f t="shared" si="86"/>
        <v>0</v>
      </c>
      <c r="V282" s="47"/>
      <c r="W282" s="48">
        <f t="shared" si="87"/>
        <v>0</v>
      </c>
      <c r="X282" s="49"/>
      <c r="Y282" s="50">
        <f t="shared" si="88"/>
        <v>0</v>
      </c>
      <c r="Z282" s="51"/>
      <c r="AA282" s="52">
        <f t="shared" si="89"/>
        <v>0</v>
      </c>
      <c r="AB282" s="36"/>
      <c r="AC282" s="36"/>
      <c r="AD282" s="29">
        <f t="shared" si="90"/>
        <v>0</v>
      </c>
    </row>
    <row r="283" spans="1:30" ht="15" customHeight="1" x14ac:dyDescent="0.25">
      <c r="A283" s="17">
        <f t="shared" si="73"/>
        <v>46376</v>
      </c>
      <c r="B283" s="18">
        <f t="shared" si="74"/>
        <v>4</v>
      </c>
      <c r="C283" s="18" t="str">
        <f t="shared" si="75"/>
        <v>Dec 2026</v>
      </c>
      <c r="D283" s="37">
        <v>46379</v>
      </c>
      <c r="E283" s="17" t="str">
        <f t="shared" si="76"/>
        <v>Wednesday</v>
      </c>
      <c r="F283" s="38"/>
      <c r="G283" s="39">
        <f t="shared" si="77"/>
        <v>0</v>
      </c>
      <c r="H283" s="38"/>
      <c r="I283" s="38">
        <f t="shared" si="78"/>
        <v>0</v>
      </c>
      <c r="J283" s="40"/>
      <c r="K283" s="41">
        <f t="shared" si="79"/>
        <v>0</v>
      </c>
      <c r="L283" s="40"/>
      <c r="M283" s="40">
        <f t="shared" si="80"/>
        <v>0</v>
      </c>
      <c r="N283" s="42"/>
      <c r="O283" s="43">
        <f t="shared" si="81"/>
        <v>0</v>
      </c>
      <c r="P283" s="42"/>
      <c r="Q283" s="42">
        <f t="shared" si="82"/>
        <v>0</v>
      </c>
      <c r="R283" s="44">
        <f t="shared" si="83"/>
        <v>0</v>
      </c>
      <c r="S283" s="45">
        <f t="shared" si="84"/>
        <v>0</v>
      </c>
      <c r="T283" s="44">
        <f t="shared" si="85"/>
        <v>0</v>
      </c>
      <c r="U283" s="46">
        <f t="shared" si="86"/>
        <v>0</v>
      </c>
      <c r="V283" s="47"/>
      <c r="W283" s="48">
        <f t="shared" si="87"/>
        <v>0</v>
      </c>
      <c r="X283" s="49"/>
      <c r="Y283" s="50">
        <f t="shared" si="88"/>
        <v>0</v>
      </c>
      <c r="Z283" s="51"/>
      <c r="AA283" s="52">
        <f t="shared" si="89"/>
        <v>0</v>
      </c>
      <c r="AB283" s="36"/>
      <c r="AC283" s="36"/>
      <c r="AD283" s="29">
        <f t="shared" si="90"/>
        <v>0</v>
      </c>
    </row>
    <row r="284" spans="1:30" ht="15" customHeight="1" x14ac:dyDescent="0.25">
      <c r="A284" s="17">
        <f t="shared" si="73"/>
        <v>46376</v>
      </c>
      <c r="B284" s="18">
        <f t="shared" si="74"/>
        <v>5</v>
      </c>
      <c r="C284" s="18" t="str">
        <f t="shared" si="75"/>
        <v>Dec 2026</v>
      </c>
      <c r="D284" s="37">
        <v>46380</v>
      </c>
      <c r="E284" s="17" t="str">
        <f t="shared" si="76"/>
        <v>Thursday</v>
      </c>
      <c r="F284" s="38"/>
      <c r="G284" s="39">
        <f t="shared" si="77"/>
        <v>0</v>
      </c>
      <c r="H284" s="38"/>
      <c r="I284" s="38">
        <f t="shared" si="78"/>
        <v>0</v>
      </c>
      <c r="J284" s="40"/>
      <c r="K284" s="41">
        <f t="shared" si="79"/>
        <v>0</v>
      </c>
      <c r="L284" s="40"/>
      <c r="M284" s="40">
        <f t="shared" si="80"/>
        <v>0</v>
      </c>
      <c r="N284" s="42"/>
      <c r="O284" s="43">
        <f t="shared" si="81"/>
        <v>0</v>
      </c>
      <c r="P284" s="42"/>
      <c r="Q284" s="42">
        <f t="shared" si="82"/>
        <v>0</v>
      </c>
      <c r="R284" s="44">
        <f t="shared" si="83"/>
        <v>0</v>
      </c>
      <c r="S284" s="45">
        <f t="shared" si="84"/>
        <v>0</v>
      </c>
      <c r="T284" s="44">
        <f t="shared" si="85"/>
        <v>0</v>
      </c>
      <c r="U284" s="46">
        <f t="shared" si="86"/>
        <v>0</v>
      </c>
      <c r="V284" s="47"/>
      <c r="W284" s="48">
        <f t="shared" si="87"/>
        <v>0</v>
      </c>
      <c r="X284" s="49"/>
      <c r="Y284" s="50">
        <f t="shared" si="88"/>
        <v>0</v>
      </c>
      <c r="Z284" s="51"/>
      <c r="AA284" s="52">
        <f t="shared" si="89"/>
        <v>0</v>
      </c>
      <c r="AB284" s="36"/>
      <c r="AC284" s="36"/>
      <c r="AD284" s="29">
        <f t="shared" si="90"/>
        <v>0</v>
      </c>
    </row>
    <row r="285" spans="1:30" ht="15" customHeight="1" x14ac:dyDescent="0.25">
      <c r="A285" s="17">
        <f t="shared" si="73"/>
        <v>46376</v>
      </c>
      <c r="B285" s="18">
        <f t="shared" si="74"/>
        <v>6</v>
      </c>
      <c r="C285" s="18" t="str">
        <f t="shared" si="75"/>
        <v>Dec 2026</v>
      </c>
      <c r="D285" s="37">
        <v>46381</v>
      </c>
      <c r="E285" s="17" t="str">
        <f t="shared" si="76"/>
        <v>Friday</v>
      </c>
      <c r="F285" s="38"/>
      <c r="G285" s="39">
        <f t="shared" si="77"/>
        <v>0</v>
      </c>
      <c r="H285" s="38"/>
      <c r="I285" s="38">
        <f t="shared" si="78"/>
        <v>0</v>
      </c>
      <c r="J285" s="40"/>
      <c r="K285" s="41">
        <f t="shared" si="79"/>
        <v>0</v>
      </c>
      <c r="L285" s="40"/>
      <c r="M285" s="40">
        <f t="shared" si="80"/>
        <v>0</v>
      </c>
      <c r="N285" s="42"/>
      <c r="O285" s="43">
        <f t="shared" si="81"/>
        <v>0</v>
      </c>
      <c r="P285" s="42"/>
      <c r="Q285" s="42">
        <f t="shared" si="82"/>
        <v>0</v>
      </c>
      <c r="R285" s="44">
        <f t="shared" si="83"/>
        <v>0</v>
      </c>
      <c r="S285" s="45">
        <f t="shared" si="84"/>
        <v>0</v>
      </c>
      <c r="T285" s="44">
        <f t="shared" si="85"/>
        <v>0</v>
      </c>
      <c r="U285" s="46">
        <f t="shared" si="86"/>
        <v>0</v>
      </c>
      <c r="V285" s="47"/>
      <c r="W285" s="48">
        <f t="shared" si="87"/>
        <v>0</v>
      </c>
      <c r="X285" s="49"/>
      <c r="Y285" s="50">
        <f t="shared" si="88"/>
        <v>0</v>
      </c>
      <c r="Z285" s="51"/>
      <c r="AA285" s="52">
        <f t="shared" si="89"/>
        <v>0</v>
      </c>
      <c r="AB285" s="36"/>
      <c r="AC285" s="36"/>
      <c r="AD285" s="29">
        <f t="shared" si="90"/>
        <v>0</v>
      </c>
    </row>
    <row r="286" spans="1:30" ht="15" customHeight="1" x14ac:dyDescent="0.25">
      <c r="A286" s="17">
        <f t="shared" si="73"/>
        <v>46376</v>
      </c>
      <c r="B286" s="18">
        <f t="shared" si="74"/>
        <v>7</v>
      </c>
      <c r="C286" s="18" t="str">
        <f t="shared" si="75"/>
        <v>Dec 2026</v>
      </c>
      <c r="D286" s="37">
        <v>46382</v>
      </c>
      <c r="E286" s="17" t="str">
        <f t="shared" si="76"/>
        <v>Saturday</v>
      </c>
      <c r="F286" s="38"/>
      <c r="G286" s="39">
        <f t="shared" si="77"/>
        <v>0</v>
      </c>
      <c r="H286" s="38"/>
      <c r="I286" s="38">
        <f t="shared" si="78"/>
        <v>0</v>
      </c>
      <c r="J286" s="40"/>
      <c r="K286" s="41">
        <f t="shared" si="79"/>
        <v>0</v>
      </c>
      <c r="L286" s="40"/>
      <c r="M286" s="40">
        <f t="shared" si="80"/>
        <v>0</v>
      </c>
      <c r="N286" s="42"/>
      <c r="O286" s="43">
        <f t="shared" si="81"/>
        <v>0</v>
      </c>
      <c r="P286" s="42"/>
      <c r="Q286" s="42">
        <f t="shared" si="82"/>
        <v>0</v>
      </c>
      <c r="R286" s="44">
        <f t="shared" si="83"/>
        <v>0</v>
      </c>
      <c r="S286" s="45">
        <f t="shared" si="84"/>
        <v>0</v>
      </c>
      <c r="T286" s="44">
        <f t="shared" si="85"/>
        <v>0</v>
      </c>
      <c r="U286" s="46">
        <f t="shared" si="86"/>
        <v>0</v>
      </c>
      <c r="V286" s="47"/>
      <c r="W286" s="48">
        <f t="shared" si="87"/>
        <v>0</v>
      </c>
      <c r="X286" s="49"/>
      <c r="Y286" s="50">
        <f t="shared" si="88"/>
        <v>0</v>
      </c>
      <c r="Z286" s="51"/>
      <c r="AA286" s="52">
        <f t="shared" si="89"/>
        <v>0</v>
      </c>
      <c r="AB286" s="36"/>
      <c r="AC286" s="36"/>
      <c r="AD286" s="29">
        <f t="shared" si="90"/>
        <v>0</v>
      </c>
    </row>
    <row r="287" spans="1:30" ht="15" customHeight="1" x14ac:dyDescent="0.25">
      <c r="A287" s="17">
        <f t="shared" si="73"/>
        <v>46383</v>
      </c>
      <c r="B287" s="18">
        <f t="shared" si="74"/>
        <v>1</v>
      </c>
      <c r="C287" s="18" t="str">
        <f t="shared" si="75"/>
        <v>Dec 2026</v>
      </c>
      <c r="D287" s="37">
        <v>46383</v>
      </c>
      <c r="E287" s="17" t="str">
        <f t="shared" si="76"/>
        <v>Sunday</v>
      </c>
      <c r="F287" s="38"/>
      <c r="G287" s="39">
        <f t="shared" si="77"/>
        <v>0</v>
      </c>
      <c r="H287" s="38"/>
      <c r="I287" s="38">
        <f t="shared" si="78"/>
        <v>0</v>
      </c>
      <c r="J287" s="40"/>
      <c r="K287" s="41">
        <f t="shared" si="79"/>
        <v>0</v>
      </c>
      <c r="L287" s="40"/>
      <c r="M287" s="40">
        <f t="shared" si="80"/>
        <v>0</v>
      </c>
      <c r="N287" s="42"/>
      <c r="O287" s="43">
        <f t="shared" si="81"/>
        <v>0</v>
      </c>
      <c r="P287" s="42"/>
      <c r="Q287" s="42">
        <f t="shared" si="82"/>
        <v>0</v>
      </c>
      <c r="R287" s="44">
        <f t="shared" si="83"/>
        <v>0</v>
      </c>
      <c r="S287" s="45">
        <f t="shared" si="84"/>
        <v>0</v>
      </c>
      <c r="T287" s="44">
        <f t="shared" si="85"/>
        <v>0</v>
      </c>
      <c r="U287" s="46">
        <f t="shared" si="86"/>
        <v>0</v>
      </c>
      <c r="V287" s="47"/>
      <c r="W287" s="48">
        <f t="shared" si="87"/>
        <v>0</v>
      </c>
      <c r="X287" s="49"/>
      <c r="Y287" s="50">
        <f t="shared" si="88"/>
        <v>0</v>
      </c>
      <c r="Z287" s="51"/>
      <c r="AA287" s="52">
        <f t="shared" si="89"/>
        <v>0</v>
      </c>
      <c r="AB287" s="36"/>
      <c r="AC287" s="36"/>
      <c r="AD287" s="29">
        <f t="shared" si="90"/>
        <v>0</v>
      </c>
    </row>
    <row r="288" spans="1:30" ht="15" customHeight="1" x14ac:dyDescent="0.25">
      <c r="A288" s="17">
        <f t="shared" si="73"/>
        <v>46383</v>
      </c>
      <c r="B288" s="18">
        <f t="shared" si="74"/>
        <v>2</v>
      </c>
      <c r="C288" s="18" t="str">
        <f t="shared" si="75"/>
        <v>Dec 2026</v>
      </c>
      <c r="D288" s="37">
        <v>46384</v>
      </c>
      <c r="E288" s="17" t="str">
        <f t="shared" si="76"/>
        <v>Monday</v>
      </c>
      <c r="F288" s="38"/>
      <c r="G288" s="39">
        <f t="shared" si="77"/>
        <v>0</v>
      </c>
      <c r="H288" s="38"/>
      <c r="I288" s="38">
        <f t="shared" si="78"/>
        <v>0</v>
      </c>
      <c r="J288" s="40"/>
      <c r="K288" s="41">
        <f t="shared" si="79"/>
        <v>0</v>
      </c>
      <c r="L288" s="40"/>
      <c r="M288" s="40">
        <f t="shared" si="80"/>
        <v>0</v>
      </c>
      <c r="N288" s="42"/>
      <c r="O288" s="43">
        <f t="shared" si="81"/>
        <v>0</v>
      </c>
      <c r="P288" s="42"/>
      <c r="Q288" s="42">
        <f t="shared" si="82"/>
        <v>0</v>
      </c>
      <c r="R288" s="44">
        <f t="shared" si="83"/>
        <v>0</v>
      </c>
      <c r="S288" s="45">
        <f t="shared" si="84"/>
        <v>0</v>
      </c>
      <c r="T288" s="44">
        <f t="shared" si="85"/>
        <v>0</v>
      </c>
      <c r="U288" s="46">
        <f t="shared" si="86"/>
        <v>0</v>
      </c>
      <c r="V288" s="47"/>
      <c r="W288" s="48">
        <f t="shared" si="87"/>
        <v>0</v>
      </c>
      <c r="X288" s="49"/>
      <c r="Y288" s="50">
        <f t="shared" si="88"/>
        <v>0</v>
      </c>
      <c r="Z288" s="51"/>
      <c r="AA288" s="52">
        <f t="shared" si="89"/>
        <v>0</v>
      </c>
      <c r="AB288" s="36"/>
      <c r="AC288" s="36"/>
      <c r="AD288" s="29">
        <f t="shared" si="90"/>
        <v>0</v>
      </c>
    </row>
    <row r="289" spans="1:30" ht="15" customHeight="1" x14ac:dyDescent="0.25">
      <c r="A289" s="17">
        <f t="shared" si="73"/>
        <v>46383</v>
      </c>
      <c r="B289" s="18">
        <f t="shared" si="74"/>
        <v>3</v>
      </c>
      <c r="C289" s="18" t="str">
        <f t="shared" si="75"/>
        <v>Dec 2026</v>
      </c>
      <c r="D289" s="37">
        <v>46385</v>
      </c>
      <c r="E289" s="17" t="str">
        <f t="shared" si="76"/>
        <v>Tuesday</v>
      </c>
      <c r="F289" s="38"/>
      <c r="G289" s="39">
        <f t="shared" si="77"/>
        <v>0</v>
      </c>
      <c r="H289" s="38"/>
      <c r="I289" s="38">
        <f t="shared" si="78"/>
        <v>0</v>
      </c>
      <c r="J289" s="40"/>
      <c r="K289" s="41">
        <f t="shared" si="79"/>
        <v>0</v>
      </c>
      <c r="L289" s="40"/>
      <c r="M289" s="40">
        <f t="shared" si="80"/>
        <v>0</v>
      </c>
      <c r="N289" s="42"/>
      <c r="O289" s="43">
        <f t="shared" si="81"/>
        <v>0</v>
      </c>
      <c r="P289" s="42"/>
      <c r="Q289" s="42">
        <f t="shared" si="82"/>
        <v>0</v>
      </c>
      <c r="R289" s="44">
        <f t="shared" si="83"/>
        <v>0</v>
      </c>
      <c r="S289" s="45">
        <f t="shared" si="84"/>
        <v>0</v>
      </c>
      <c r="T289" s="44">
        <f t="shared" si="85"/>
        <v>0</v>
      </c>
      <c r="U289" s="46">
        <f t="shared" si="86"/>
        <v>0</v>
      </c>
      <c r="V289" s="47"/>
      <c r="W289" s="48">
        <f t="shared" si="87"/>
        <v>0</v>
      </c>
      <c r="X289" s="49"/>
      <c r="Y289" s="50">
        <f t="shared" si="88"/>
        <v>0</v>
      </c>
      <c r="Z289" s="51"/>
      <c r="AA289" s="52">
        <f t="shared" si="89"/>
        <v>0</v>
      </c>
      <c r="AB289" s="36"/>
      <c r="AC289" s="36"/>
      <c r="AD289" s="29">
        <f t="shared" si="90"/>
        <v>0</v>
      </c>
    </row>
    <row r="290" spans="1:30" ht="15" customHeight="1" x14ac:dyDescent="0.25">
      <c r="A290" s="17">
        <f t="shared" si="73"/>
        <v>46383</v>
      </c>
      <c r="B290" s="18">
        <f t="shared" si="74"/>
        <v>4</v>
      </c>
      <c r="C290" s="18" t="str">
        <f t="shared" si="75"/>
        <v>Dec 2026</v>
      </c>
      <c r="D290" s="37">
        <v>46386</v>
      </c>
      <c r="E290" s="17" t="str">
        <f t="shared" si="76"/>
        <v>Wednesday</v>
      </c>
      <c r="F290" s="38"/>
      <c r="G290" s="39">
        <f t="shared" si="77"/>
        <v>0</v>
      </c>
      <c r="H290" s="38"/>
      <c r="I290" s="38">
        <f t="shared" si="78"/>
        <v>0</v>
      </c>
      <c r="J290" s="40"/>
      <c r="K290" s="41">
        <f t="shared" si="79"/>
        <v>0</v>
      </c>
      <c r="L290" s="40"/>
      <c r="M290" s="40">
        <f t="shared" si="80"/>
        <v>0</v>
      </c>
      <c r="N290" s="42"/>
      <c r="O290" s="43">
        <f t="shared" si="81"/>
        <v>0</v>
      </c>
      <c r="P290" s="42"/>
      <c r="Q290" s="42">
        <f t="shared" si="82"/>
        <v>0</v>
      </c>
      <c r="R290" s="44">
        <f t="shared" si="83"/>
        <v>0</v>
      </c>
      <c r="S290" s="45">
        <f t="shared" si="84"/>
        <v>0</v>
      </c>
      <c r="T290" s="44">
        <f t="shared" si="85"/>
        <v>0</v>
      </c>
      <c r="U290" s="46">
        <f t="shared" si="86"/>
        <v>0</v>
      </c>
      <c r="V290" s="47"/>
      <c r="W290" s="48">
        <f t="shared" si="87"/>
        <v>0</v>
      </c>
      <c r="X290" s="49"/>
      <c r="Y290" s="50">
        <f t="shared" si="88"/>
        <v>0</v>
      </c>
      <c r="Z290" s="51"/>
      <c r="AA290" s="52">
        <f t="shared" si="89"/>
        <v>0</v>
      </c>
      <c r="AB290" s="36"/>
      <c r="AC290" s="36"/>
      <c r="AD290" s="29">
        <f t="shared" si="90"/>
        <v>0</v>
      </c>
    </row>
    <row r="291" spans="1:30" ht="15" customHeight="1" x14ac:dyDescent="0.25">
      <c r="A291" s="17">
        <f t="shared" si="73"/>
        <v>46383</v>
      </c>
      <c r="B291" s="18">
        <f t="shared" si="74"/>
        <v>5</v>
      </c>
      <c r="C291" s="18" t="str">
        <f t="shared" si="75"/>
        <v>Dec 2026</v>
      </c>
      <c r="D291" s="37">
        <v>46387</v>
      </c>
      <c r="E291" s="17" t="str">
        <f t="shared" si="76"/>
        <v>Thursday</v>
      </c>
      <c r="F291" s="38"/>
      <c r="G291" s="39">
        <f t="shared" si="77"/>
        <v>0</v>
      </c>
      <c r="H291" s="38"/>
      <c r="I291" s="38">
        <f t="shared" si="78"/>
        <v>0</v>
      </c>
      <c r="J291" s="40"/>
      <c r="K291" s="41">
        <f t="shared" si="79"/>
        <v>0</v>
      </c>
      <c r="L291" s="40"/>
      <c r="M291" s="40">
        <f t="shared" si="80"/>
        <v>0</v>
      </c>
      <c r="N291" s="42"/>
      <c r="O291" s="43">
        <f t="shared" si="81"/>
        <v>0</v>
      </c>
      <c r="P291" s="42"/>
      <c r="Q291" s="42">
        <f t="shared" si="82"/>
        <v>0</v>
      </c>
      <c r="R291" s="44">
        <f t="shared" si="83"/>
        <v>0</v>
      </c>
      <c r="S291" s="45">
        <f t="shared" si="84"/>
        <v>0</v>
      </c>
      <c r="T291" s="44">
        <f t="shared" si="85"/>
        <v>0</v>
      </c>
      <c r="U291" s="46">
        <f t="shared" si="86"/>
        <v>0</v>
      </c>
      <c r="V291" s="47"/>
      <c r="W291" s="48">
        <f t="shared" si="87"/>
        <v>0</v>
      </c>
      <c r="X291" s="49"/>
      <c r="Y291" s="50">
        <f t="shared" si="88"/>
        <v>0</v>
      </c>
      <c r="Z291" s="51"/>
      <c r="AA291" s="52">
        <f t="shared" si="89"/>
        <v>0</v>
      </c>
      <c r="AB291" s="36"/>
      <c r="AC291" s="36"/>
      <c r="AD291" s="29">
        <f t="shared" si="90"/>
        <v>0</v>
      </c>
    </row>
    <row r="292" spans="1:30" ht="15" customHeight="1" x14ac:dyDescent="0.25">
      <c r="A292" s="17">
        <f t="shared" si="73"/>
        <v>46383</v>
      </c>
      <c r="B292" s="18">
        <f t="shared" si="74"/>
        <v>6</v>
      </c>
      <c r="C292" s="18" t="str">
        <f t="shared" si="75"/>
        <v>Jan 2027</v>
      </c>
      <c r="D292" s="37">
        <v>46388</v>
      </c>
      <c r="E292" s="17" t="str">
        <f t="shared" si="76"/>
        <v>Friday</v>
      </c>
      <c r="F292" s="38"/>
      <c r="G292" s="39">
        <f t="shared" si="77"/>
        <v>0</v>
      </c>
      <c r="H292" s="38"/>
      <c r="I292" s="38">
        <f t="shared" si="78"/>
        <v>0</v>
      </c>
      <c r="J292" s="40"/>
      <c r="K292" s="41">
        <f t="shared" si="79"/>
        <v>0</v>
      </c>
      <c r="L292" s="40"/>
      <c r="M292" s="40">
        <f t="shared" si="80"/>
        <v>0</v>
      </c>
      <c r="N292" s="42"/>
      <c r="O292" s="43">
        <f t="shared" si="81"/>
        <v>0</v>
      </c>
      <c r="P292" s="42"/>
      <c r="Q292" s="42">
        <f t="shared" si="82"/>
        <v>0</v>
      </c>
      <c r="R292" s="44">
        <f t="shared" si="83"/>
        <v>0</v>
      </c>
      <c r="S292" s="45">
        <f t="shared" si="84"/>
        <v>0</v>
      </c>
      <c r="T292" s="44">
        <f t="shared" si="85"/>
        <v>0</v>
      </c>
      <c r="U292" s="46">
        <f t="shared" si="86"/>
        <v>0</v>
      </c>
      <c r="V292" s="47"/>
      <c r="W292" s="48">
        <f t="shared" si="87"/>
        <v>0</v>
      </c>
      <c r="X292" s="49"/>
      <c r="Y292" s="50">
        <f t="shared" si="88"/>
        <v>0</v>
      </c>
      <c r="Z292" s="51"/>
      <c r="AA292" s="52">
        <f t="shared" si="89"/>
        <v>0</v>
      </c>
      <c r="AB292" s="36"/>
      <c r="AC292" s="36"/>
      <c r="AD292" s="29">
        <f t="shared" si="90"/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A388-16BD-4608-947C-1DC2453F9E1E}">
  <dimension ref="A1:AI97"/>
  <sheetViews>
    <sheetView workbookViewId="0">
      <selection activeCell="M24" sqref="M24"/>
    </sheetView>
  </sheetViews>
  <sheetFormatPr defaultColWidth="8.5703125" defaultRowHeight="15" x14ac:dyDescent="0.25"/>
  <cols>
    <col min="1" max="1" width="12" customWidth="1"/>
    <col min="2" max="35" width="11" customWidth="1"/>
  </cols>
  <sheetData>
    <row r="1" spans="1:35" ht="15" customHeight="1" x14ac:dyDescent="0.25">
      <c r="A1" s="80" t="s">
        <v>3</v>
      </c>
      <c r="B1" s="80" t="s">
        <v>71</v>
      </c>
      <c r="C1" s="80"/>
      <c r="D1" s="80" t="s">
        <v>72</v>
      </c>
      <c r="E1" s="80"/>
      <c r="F1" s="80" t="s">
        <v>73</v>
      </c>
      <c r="G1" s="80"/>
      <c r="H1" s="80" t="s">
        <v>74</v>
      </c>
      <c r="I1" s="80"/>
      <c r="J1" s="80" t="s">
        <v>75</v>
      </c>
      <c r="K1" s="80"/>
      <c r="L1" s="80" t="s">
        <v>76</v>
      </c>
      <c r="M1" s="80"/>
      <c r="N1" s="80" t="s">
        <v>77</v>
      </c>
      <c r="O1" s="80"/>
      <c r="P1" s="80" t="s">
        <v>78</v>
      </c>
      <c r="Q1" s="80"/>
      <c r="R1" s="80" t="s">
        <v>79</v>
      </c>
      <c r="S1" s="80"/>
      <c r="T1" s="80" t="s">
        <v>80</v>
      </c>
      <c r="U1" s="80"/>
      <c r="V1" s="80" t="s">
        <v>81</v>
      </c>
      <c r="W1" s="80"/>
      <c r="X1" s="80" t="s">
        <v>82</v>
      </c>
      <c r="Y1" s="80"/>
      <c r="Z1" s="80" t="s">
        <v>83</v>
      </c>
      <c r="AA1" s="80"/>
      <c r="AB1" s="80" t="s">
        <v>84</v>
      </c>
      <c r="AC1" s="80"/>
      <c r="AD1" s="80" t="s">
        <v>85</v>
      </c>
      <c r="AE1" s="80"/>
      <c r="AF1" s="80" t="s">
        <v>86</v>
      </c>
      <c r="AG1" s="80"/>
      <c r="AH1" s="80" t="s">
        <v>87</v>
      </c>
      <c r="AI1" s="80"/>
    </row>
    <row r="2" spans="1:35" ht="15" customHeight="1" x14ac:dyDescent="0.25">
      <c r="A2" s="80"/>
      <c r="B2" s="69" t="s">
        <v>88</v>
      </c>
      <c r="C2" s="69" t="s">
        <v>89</v>
      </c>
      <c r="D2" s="69" t="s">
        <v>88</v>
      </c>
      <c r="E2" s="69" t="s">
        <v>89</v>
      </c>
      <c r="F2" s="69" t="s">
        <v>88</v>
      </c>
      <c r="G2" s="69" t="s">
        <v>89</v>
      </c>
      <c r="H2" s="69" t="s">
        <v>88</v>
      </c>
      <c r="I2" s="69" t="s">
        <v>89</v>
      </c>
      <c r="J2" s="69" t="s">
        <v>88</v>
      </c>
      <c r="K2" s="69" t="s">
        <v>89</v>
      </c>
      <c r="L2" s="69" t="s">
        <v>88</v>
      </c>
      <c r="M2" s="69" t="s">
        <v>89</v>
      </c>
      <c r="N2" s="69" t="s">
        <v>88</v>
      </c>
      <c r="O2" s="69" t="s">
        <v>89</v>
      </c>
      <c r="P2" s="69" t="s">
        <v>88</v>
      </c>
      <c r="Q2" s="69" t="s">
        <v>89</v>
      </c>
      <c r="R2" s="69" t="s">
        <v>88</v>
      </c>
      <c r="S2" s="69" t="s">
        <v>89</v>
      </c>
      <c r="T2" s="69" t="s">
        <v>88</v>
      </c>
      <c r="U2" s="69" t="s">
        <v>89</v>
      </c>
      <c r="V2" s="69" t="s">
        <v>88</v>
      </c>
      <c r="W2" s="69" t="s">
        <v>89</v>
      </c>
      <c r="X2" s="69" t="s">
        <v>88</v>
      </c>
      <c r="Y2" s="69" t="s">
        <v>89</v>
      </c>
      <c r="Z2" s="69" t="s">
        <v>88</v>
      </c>
      <c r="AA2" s="69" t="s">
        <v>89</v>
      </c>
      <c r="AB2" s="69" t="s">
        <v>88</v>
      </c>
      <c r="AC2" s="69" t="s">
        <v>89</v>
      </c>
      <c r="AD2" s="69" t="s">
        <v>88</v>
      </c>
      <c r="AE2" s="69" t="s">
        <v>89</v>
      </c>
      <c r="AF2" s="69" t="s">
        <v>88</v>
      </c>
      <c r="AG2" s="69" t="s">
        <v>89</v>
      </c>
      <c r="AH2" s="69" t="s">
        <v>88</v>
      </c>
      <c r="AI2" s="69" t="s">
        <v>89</v>
      </c>
    </row>
    <row r="3" spans="1:35" ht="15" customHeight="1" x14ac:dyDescent="0.25">
      <c r="A3" s="70">
        <v>46113</v>
      </c>
      <c r="B3" s="71">
        <v>1372</v>
      </c>
      <c r="C3" s="72">
        <v>9</v>
      </c>
      <c r="D3" s="71">
        <v>121</v>
      </c>
      <c r="E3" s="72">
        <v>1</v>
      </c>
      <c r="F3" s="71">
        <v>17814</v>
      </c>
      <c r="G3" s="72">
        <v>20</v>
      </c>
      <c r="H3" s="71">
        <v>3416</v>
      </c>
      <c r="I3" s="72">
        <v>12</v>
      </c>
      <c r="J3" s="71"/>
      <c r="K3" s="72"/>
      <c r="L3" s="71">
        <v>37404</v>
      </c>
      <c r="M3" s="72">
        <v>75</v>
      </c>
      <c r="N3" s="71">
        <v>5184</v>
      </c>
      <c r="O3" s="72">
        <v>7</v>
      </c>
      <c r="P3" s="71">
        <v>13620</v>
      </c>
      <c r="Q3" s="72">
        <v>22</v>
      </c>
      <c r="R3" s="71">
        <v>2474</v>
      </c>
      <c r="S3" s="72">
        <v>3</v>
      </c>
      <c r="T3" s="71">
        <v>0</v>
      </c>
      <c r="U3" s="72">
        <v>1</v>
      </c>
      <c r="V3" s="71">
        <v>13752</v>
      </c>
      <c r="W3" s="72">
        <v>22</v>
      </c>
      <c r="X3" s="71">
        <v>17569</v>
      </c>
      <c r="Y3" s="72">
        <v>27</v>
      </c>
      <c r="Z3" s="71">
        <v>1532</v>
      </c>
      <c r="AA3" s="72">
        <v>2</v>
      </c>
      <c r="AB3" s="71">
        <v>4008</v>
      </c>
      <c r="AC3" s="72">
        <v>14</v>
      </c>
      <c r="AD3" s="71"/>
      <c r="AE3" s="72"/>
      <c r="AF3" s="71">
        <v>321</v>
      </c>
      <c r="AG3" s="72">
        <v>3</v>
      </c>
      <c r="AH3" s="73">
        <f t="shared" ref="AH3:AI34" si="0">B3+D3+F3+H3+J3+L3+N3+P3+R3+T3+V3+X3+Z3+AB3+AD3+AF3</f>
        <v>118587</v>
      </c>
      <c r="AI3" s="74">
        <f t="shared" si="0"/>
        <v>218</v>
      </c>
    </row>
    <row r="4" spans="1:35" ht="15" customHeight="1" x14ac:dyDescent="0.25">
      <c r="A4" s="70">
        <v>46114</v>
      </c>
      <c r="B4" s="71">
        <v>2552</v>
      </c>
      <c r="C4" s="72">
        <v>9</v>
      </c>
      <c r="D4" s="71">
        <v>114</v>
      </c>
      <c r="E4" s="72">
        <v>1</v>
      </c>
      <c r="F4" s="71">
        <v>20982</v>
      </c>
      <c r="G4" s="72">
        <v>23</v>
      </c>
      <c r="H4" s="71">
        <v>3756</v>
      </c>
      <c r="I4" s="72">
        <v>13</v>
      </c>
      <c r="J4" s="71"/>
      <c r="K4" s="72"/>
      <c r="L4" s="71">
        <v>35468</v>
      </c>
      <c r="M4" s="72">
        <v>73</v>
      </c>
      <c r="N4" s="71">
        <v>5808</v>
      </c>
      <c r="O4" s="72">
        <v>9</v>
      </c>
      <c r="P4" s="71">
        <v>19520</v>
      </c>
      <c r="Q4" s="72">
        <v>29</v>
      </c>
      <c r="R4" s="71">
        <v>2501</v>
      </c>
      <c r="S4" s="72">
        <v>3</v>
      </c>
      <c r="T4" s="71">
        <v>0</v>
      </c>
      <c r="U4" s="72">
        <v>1</v>
      </c>
      <c r="V4" s="71">
        <v>20188</v>
      </c>
      <c r="W4" s="72">
        <v>28</v>
      </c>
      <c r="X4" s="71">
        <v>19654</v>
      </c>
      <c r="Y4" s="72">
        <v>27</v>
      </c>
      <c r="Z4" s="71">
        <v>2772</v>
      </c>
      <c r="AA4" s="72">
        <v>4</v>
      </c>
      <c r="AB4" s="71">
        <v>4590</v>
      </c>
      <c r="AC4" s="72">
        <v>16</v>
      </c>
      <c r="AD4" s="71"/>
      <c r="AE4" s="72"/>
      <c r="AF4" s="71">
        <v>380</v>
      </c>
      <c r="AG4" s="72">
        <v>3</v>
      </c>
      <c r="AH4" s="73">
        <f t="shared" si="0"/>
        <v>138285</v>
      </c>
      <c r="AI4" s="74">
        <f t="shared" si="0"/>
        <v>239</v>
      </c>
    </row>
    <row r="5" spans="1:35" ht="15" customHeight="1" x14ac:dyDescent="0.25">
      <c r="A5" s="70">
        <v>46115</v>
      </c>
      <c r="B5" s="71"/>
      <c r="C5" s="72"/>
      <c r="D5" s="71"/>
      <c r="E5" s="72"/>
      <c r="F5" s="71"/>
      <c r="G5" s="72"/>
      <c r="H5" s="71">
        <v>2988</v>
      </c>
      <c r="I5" s="72">
        <v>8</v>
      </c>
      <c r="J5" s="71"/>
      <c r="K5" s="72"/>
      <c r="L5" s="71">
        <v>38558</v>
      </c>
      <c r="M5" s="72">
        <v>72</v>
      </c>
      <c r="N5" s="71"/>
      <c r="O5" s="72"/>
      <c r="P5" s="71"/>
      <c r="Q5" s="72"/>
      <c r="R5" s="71"/>
      <c r="S5" s="72"/>
      <c r="T5" s="71"/>
      <c r="U5" s="72"/>
      <c r="V5" s="71"/>
      <c r="W5" s="72"/>
      <c r="X5" s="71"/>
      <c r="Y5" s="72"/>
      <c r="Z5" s="71"/>
      <c r="AA5" s="72"/>
      <c r="AB5" s="71">
        <v>4290</v>
      </c>
      <c r="AC5" s="72">
        <v>16</v>
      </c>
      <c r="AD5" s="71"/>
      <c r="AE5" s="72"/>
      <c r="AF5" s="71">
        <v>391</v>
      </c>
      <c r="AG5" s="72">
        <v>3</v>
      </c>
      <c r="AH5" s="73">
        <f t="shared" si="0"/>
        <v>46227</v>
      </c>
      <c r="AI5" s="74">
        <f t="shared" si="0"/>
        <v>99</v>
      </c>
    </row>
    <row r="6" spans="1:35" ht="15" customHeight="1" x14ac:dyDescent="0.25">
      <c r="A6" s="70">
        <v>46116</v>
      </c>
      <c r="B6" s="71">
        <v>3428</v>
      </c>
      <c r="C6" s="72">
        <v>9</v>
      </c>
      <c r="D6" s="71">
        <v>122</v>
      </c>
      <c r="E6" s="72">
        <v>1</v>
      </c>
      <c r="F6" s="71">
        <v>23902</v>
      </c>
      <c r="G6" s="72">
        <v>27</v>
      </c>
      <c r="H6" s="71"/>
      <c r="I6" s="72"/>
      <c r="J6" s="71"/>
      <c r="K6" s="72"/>
      <c r="L6" s="71"/>
      <c r="M6" s="72"/>
      <c r="N6" s="71">
        <v>5836</v>
      </c>
      <c r="O6" s="72">
        <v>9</v>
      </c>
      <c r="P6" s="71">
        <v>19451</v>
      </c>
      <c r="Q6" s="72">
        <v>28</v>
      </c>
      <c r="R6" s="71">
        <v>2845</v>
      </c>
      <c r="S6" s="72">
        <v>4</v>
      </c>
      <c r="T6" s="71">
        <v>236</v>
      </c>
      <c r="U6" s="72">
        <v>1</v>
      </c>
      <c r="V6" s="71">
        <v>28112</v>
      </c>
      <c r="W6" s="72">
        <v>40</v>
      </c>
      <c r="X6" s="71">
        <v>37435</v>
      </c>
      <c r="Y6" s="72">
        <v>49</v>
      </c>
      <c r="Z6" s="71">
        <v>1712</v>
      </c>
      <c r="AA6" s="72">
        <v>2</v>
      </c>
      <c r="AB6" s="71"/>
      <c r="AC6" s="72"/>
      <c r="AD6" s="71"/>
      <c r="AE6" s="72"/>
      <c r="AF6" s="71">
        <v>362</v>
      </c>
      <c r="AG6" s="72">
        <v>3</v>
      </c>
      <c r="AH6" s="73">
        <f t="shared" si="0"/>
        <v>123441</v>
      </c>
      <c r="AI6" s="74">
        <f t="shared" si="0"/>
        <v>173</v>
      </c>
    </row>
    <row r="7" spans="1:35" ht="15" customHeight="1" x14ac:dyDescent="0.25">
      <c r="A7" s="70">
        <v>46117</v>
      </c>
      <c r="B7" s="71">
        <v>1744</v>
      </c>
      <c r="C7" s="72">
        <v>9</v>
      </c>
      <c r="D7" s="71">
        <v>84</v>
      </c>
      <c r="E7" s="72">
        <v>1</v>
      </c>
      <c r="F7" s="71">
        <v>19112</v>
      </c>
      <c r="G7" s="72">
        <v>23</v>
      </c>
      <c r="H7" s="71">
        <v>2120</v>
      </c>
      <c r="I7" s="72">
        <v>6</v>
      </c>
      <c r="J7" s="71"/>
      <c r="K7" s="72"/>
      <c r="L7" s="71">
        <v>48742</v>
      </c>
      <c r="M7" s="72">
        <v>86</v>
      </c>
      <c r="N7" s="71">
        <v>6376</v>
      </c>
      <c r="O7" s="72">
        <v>9</v>
      </c>
      <c r="P7" s="71">
        <v>21450</v>
      </c>
      <c r="Q7" s="72">
        <v>30</v>
      </c>
      <c r="R7" s="71">
        <v>2162</v>
      </c>
      <c r="S7" s="72">
        <v>3</v>
      </c>
      <c r="T7" s="71">
        <v>548</v>
      </c>
      <c r="U7" s="72">
        <v>1</v>
      </c>
      <c r="V7" s="71">
        <v>28624</v>
      </c>
      <c r="W7" s="72">
        <v>38</v>
      </c>
      <c r="X7" s="71">
        <v>28018</v>
      </c>
      <c r="Y7" s="72">
        <v>39</v>
      </c>
      <c r="Z7" s="71">
        <v>2112</v>
      </c>
      <c r="AA7" s="72">
        <v>3</v>
      </c>
      <c r="AB7" s="71">
        <v>4638</v>
      </c>
      <c r="AC7" s="72">
        <v>16</v>
      </c>
      <c r="AD7" s="71"/>
      <c r="AE7" s="72"/>
      <c r="AF7" s="71">
        <v>357</v>
      </c>
      <c r="AG7" s="72">
        <v>3</v>
      </c>
      <c r="AH7" s="73">
        <f t="shared" si="0"/>
        <v>166087</v>
      </c>
      <c r="AI7" s="74">
        <f t="shared" si="0"/>
        <v>267</v>
      </c>
    </row>
    <row r="8" spans="1:35" ht="15" customHeight="1" x14ac:dyDescent="0.25">
      <c r="A8" s="70">
        <v>46118</v>
      </c>
      <c r="B8" s="71">
        <v>2056</v>
      </c>
      <c r="C8" s="72">
        <v>9</v>
      </c>
      <c r="D8" s="71">
        <v>110</v>
      </c>
      <c r="E8" s="72">
        <v>1</v>
      </c>
      <c r="F8" s="71">
        <v>19507</v>
      </c>
      <c r="G8" s="72">
        <v>23</v>
      </c>
      <c r="H8" s="71">
        <v>2244</v>
      </c>
      <c r="I8" s="72">
        <v>6</v>
      </c>
      <c r="J8" s="71"/>
      <c r="K8" s="72"/>
      <c r="L8" s="71">
        <v>45170</v>
      </c>
      <c r="M8" s="72">
        <v>84</v>
      </c>
      <c r="N8" s="71">
        <v>7408</v>
      </c>
      <c r="O8" s="72">
        <v>11</v>
      </c>
      <c r="P8" s="71">
        <v>17292</v>
      </c>
      <c r="Q8" s="72">
        <v>25</v>
      </c>
      <c r="R8" s="71">
        <v>2387</v>
      </c>
      <c r="S8" s="72">
        <v>3</v>
      </c>
      <c r="T8" s="71">
        <v>360</v>
      </c>
      <c r="U8" s="72">
        <v>1</v>
      </c>
      <c r="V8" s="71">
        <v>26036</v>
      </c>
      <c r="W8" s="72">
        <v>36</v>
      </c>
      <c r="X8" s="71">
        <v>24967</v>
      </c>
      <c r="Y8" s="72">
        <v>33</v>
      </c>
      <c r="Z8" s="71">
        <v>1480</v>
      </c>
      <c r="AA8" s="72">
        <v>2</v>
      </c>
      <c r="AB8" s="71">
        <v>4282</v>
      </c>
      <c r="AC8" s="72">
        <v>16</v>
      </c>
      <c r="AD8" s="71">
        <v>70</v>
      </c>
      <c r="AE8" s="72">
        <v>1</v>
      </c>
      <c r="AF8" s="71">
        <v>313</v>
      </c>
      <c r="AG8" s="72">
        <v>3</v>
      </c>
      <c r="AH8" s="73">
        <f t="shared" si="0"/>
        <v>153682</v>
      </c>
      <c r="AI8" s="74">
        <f t="shared" si="0"/>
        <v>254</v>
      </c>
    </row>
    <row r="9" spans="1:35" ht="15" customHeight="1" x14ac:dyDescent="0.25">
      <c r="A9" s="70">
        <v>46119</v>
      </c>
      <c r="B9" s="71">
        <v>3160</v>
      </c>
      <c r="C9" s="72">
        <v>9</v>
      </c>
      <c r="D9" s="71">
        <v>104</v>
      </c>
      <c r="E9" s="72">
        <v>1</v>
      </c>
      <c r="F9" s="71">
        <v>19365</v>
      </c>
      <c r="G9" s="72">
        <v>23</v>
      </c>
      <c r="H9" s="71">
        <v>2528</v>
      </c>
      <c r="I9" s="72">
        <v>7</v>
      </c>
      <c r="J9" s="71"/>
      <c r="K9" s="72"/>
      <c r="L9" s="71">
        <v>52152</v>
      </c>
      <c r="M9" s="72">
        <v>91</v>
      </c>
      <c r="N9" s="71">
        <v>4224</v>
      </c>
      <c r="O9" s="72">
        <v>7</v>
      </c>
      <c r="P9" s="71">
        <v>21820</v>
      </c>
      <c r="Q9" s="72">
        <v>30</v>
      </c>
      <c r="R9" s="71">
        <v>2017</v>
      </c>
      <c r="S9" s="72">
        <v>3</v>
      </c>
      <c r="T9" s="71">
        <v>0</v>
      </c>
      <c r="U9" s="72">
        <v>1</v>
      </c>
      <c r="V9" s="71">
        <v>26488</v>
      </c>
      <c r="W9" s="72">
        <v>35</v>
      </c>
      <c r="X9" s="71">
        <v>30249</v>
      </c>
      <c r="Y9" s="72">
        <v>38</v>
      </c>
      <c r="Z9" s="71">
        <v>1432</v>
      </c>
      <c r="AA9" s="72">
        <v>2</v>
      </c>
      <c r="AB9" s="71">
        <v>4256</v>
      </c>
      <c r="AC9" s="72">
        <v>16</v>
      </c>
      <c r="AD9" s="71"/>
      <c r="AE9" s="72"/>
      <c r="AF9" s="71">
        <v>175</v>
      </c>
      <c r="AG9" s="72">
        <v>3</v>
      </c>
      <c r="AH9" s="73">
        <f t="shared" si="0"/>
        <v>167970</v>
      </c>
      <c r="AI9" s="74">
        <f t="shared" si="0"/>
        <v>266</v>
      </c>
    </row>
    <row r="10" spans="1:35" ht="15" customHeight="1" x14ac:dyDescent="0.25">
      <c r="A10" s="70">
        <v>46120</v>
      </c>
      <c r="B10" s="71">
        <v>1936</v>
      </c>
      <c r="C10" s="72">
        <v>9</v>
      </c>
      <c r="D10" s="71">
        <v>115</v>
      </c>
      <c r="E10" s="72">
        <v>1</v>
      </c>
      <c r="F10" s="71">
        <v>18791</v>
      </c>
      <c r="G10" s="72">
        <v>22</v>
      </c>
      <c r="H10" s="71">
        <v>3384</v>
      </c>
      <c r="I10" s="72">
        <v>12</v>
      </c>
      <c r="J10" s="71"/>
      <c r="K10" s="72"/>
      <c r="L10" s="71">
        <v>51512</v>
      </c>
      <c r="M10" s="72">
        <v>89</v>
      </c>
      <c r="N10" s="71">
        <v>6984</v>
      </c>
      <c r="O10" s="72">
        <v>11</v>
      </c>
      <c r="P10" s="71">
        <v>18615</v>
      </c>
      <c r="Q10" s="72">
        <v>25</v>
      </c>
      <c r="R10" s="71">
        <v>2480</v>
      </c>
      <c r="S10" s="72">
        <v>3</v>
      </c>
      <c r="T10" s="71">
        <v>0</v>
      </c>
      <c r="U10" s="72">
        <v>1</v>
      </c>
      <c r="V10" s="71">
        <v>21660</v>
      </c>
      <c r="W10" s="72">
        <v>30</v>
      </c>
      <c r="X10" s="71">
        <v>30699</v>
      </c>
      <c r="Y10" s="72">
        <v>40</v>
      </c>
      <c r="Z10" s="71">
        <v>2412</v>
      </c>
      <c r="AA10" s="72">
        <v>3</v>
      </c>
      <c r="AB10" s="71">
        <v>4292</v>
      </c>
      <c r="AC10" s="72">
        <v>15</v>
      </c>
      <c r="AD10" s="71"/>
      <c r="AE10" s="72"/>
      <c r="AF10" s="71">
        <v>217</v>
      </c>
      <c r="AG10" s="72">
        <v>3</v>
      </c>
      <c r="AH10" s="73">
        <f t="shared" si="0"/>
        <v>163097</v>
      </c>
      <c r="AI10" s="74">
        <f t="shared" si="0"/>
        <v>264</v>
      </c>
    </row>
    <row r="11" spans="1:35" ht="15" customHeight="1" x14ac:dyDescent="0.25">
      <c r="A11" s="70">
        <v>46121</v>
      </c>
      <c r="B11" s="71">
        <v>2972</v>
      </c>
      <c r="C11" s="72">
        <v>9</v>
      </c>
      <c r="D11" s="71">
        <v>103</v>
      </c>
      <c r="E11" s="72">
        <v>1</v>
      </c>
      <c r="F11" s="71">
        <v>23424</v>
      </c>
      <c r="G11" s="72">
        <v>26</v>
      </c>
      <c r="H11" s="71">
        <v>3784</v>
      </c>
      <c r="I11" s="72">
        <v>13</v>
      </c>
      <c r="J11" s="71"/>
      <c r="K11" s="72"/>
      <c r="L11" s="71">
        <v>51444</v>
      </c>
      <c r="M11" s="72">
        <v>86</v>
      </c>
      <c r="N11" s="71">
        <v>6128</v>
      </c>
      <c r="O11" s="72">
        <v>10</v>
      </c>
      <c r="P11" s="71">
        <v>24512</v>
      </c>
      <c r="Q11" s="72">
        <v>31</v>
      </c>
      <c r="R11" s="71">
        <v>2395</v>
      </c>
      <c r="S11" s="72">
        <v>3</v>
      </c>
      <c r="T11" s="71">
        <v>0</v>
      </c>
      <c r="U11" s="72">
        <v>1</v>
      </c>
      <c r="V11" s="71">
        <v>30532</v>
      </c>
      <c r="W11" s="72">
        <v>40</v>
      </c>
      <c r="X11" s="71">
        <v>42574</v>
      </c>
      <c r="Y11" s="72">
        <v>54</v>
      </c>
      <c r="Z11" s="71">
        <v>2272</v>
      </c>
      <c r="AA11" s="72">
        <v>3</v>
      </c>
      <c r="AB11" s="71">
        <v>4204</v>
      </c>
      <c r="AC11" s="72">
        <v>16</v>
      </c>
      <c r="AD11" s="71"/>
      <c r="AE11" s="72"/>
      <c r="AF11" s="71">
        <v>265</v>
      </c>
      <c r="AG11" s="72">
        <v>3</v>
      </c>
      <c r="AH11" s="73">
        <f t="shared" si="0"/>
        <v>194609</v>
      </c>
      <c r="AI11" s="74">
        <f t="shared" si="0"/>
        <v>296</v>
      </c>
    </row>
    <row r="12" spans="1:35" ht="15" customHeight="1" x14ac:dyDescent="0.25">
      <c r="A12" s="70">
        <v>46122</v>
      </c>
      <c r="B12" s="71"/>
      <c r="C12" s="72"/>
      <c r="D12" s="71"/>
      <c r="E12" s="72"/>
      <c r="F12" s="71"/>
      <c r="G12" s="72"/>
      <c r="H12" s="71">
        <v>3840</v>
      </c>
      <c r="I12" s="72">
        <v>10</v>
      </c>
      <c r="J12" s="71"/>
      <c r="K12" s="72"/>
      <c r="L12" s="71">
        <v>41238</v>
      </c>
      <c r="M12" s="72">
        <v>79</v>
      </c>
      <c r="N12" s="71"/>
      <c r="O12" s="72"/>
      <c r="P12" s="71"/>
      <c r="Q12" s="72"/>
      <c r="R12" s="71"/>
      <c r="S12" s="72"/>
      <c r="T12" s="71"/>
      <c r="U12" s="72"/>
      <c r="V12" s="71"/>
      <c r="W12" s="72"/>
      <c r="X12" s="71"/>
      <c r="Y12" s="72"/>
      <c r="Z12" s="71"/>
      <c r="AA12" s="72"/>
      <c r="AB12" s="71">
        <v>7210</v>
      </c>
      <c r="AC12" s="72">
        <v>16</v>
      </c>
      <c r="AD12" s="71"/>
      <c r="AE12" s="72"/>
      <c r="AF12" s="71">
        <v>255</v>
      </c>
      <c r="AG12" s="72">
        <v>3</v>
      </c>
      <c r="AH12" s="73">
        <f t="shared" si="0"/>
        <v>52543</v>
      </c>
      <c r="AI12" s="74">
        <f t="shared" si="0"/>
        <v>108</v>
      </c>
    </row>
    <row r="13" spans="1:35" ht="15" customHeight="1" x14ac:dyDescent="0.25">
      <c r="A13" s="70">
        <v>46123</v>
      </c>
      <c r="B13" s="71">
        <v>2832</v>
      </c>
      <c r="C13" s="72">
        <v>9</v>
      </c>
      <c r="D13" s="71">
        <v>110</v>
      </c>
      <c r="E13" s="72">
        <v>1</v>
      </c>
      <c r="F13" s="71">
        <v>25775</v>
      </c>
      <c r="G13" s="72">
        <v>29</v>
      </c>
      <c r="H13" s="71"/>
      <c r="I13" s="72"/>
      <c r="J13" s="71"/>
      <c r="K13" s="72"/>
      <c r="L13" s="71">
        <v>48650</v>
      </c>
      <c r="M13" s="72">
        <v>88</v>
      </c>
      <c r="N13" s="71">
        <v>9688</v>
      </c>
      <c r="O13" s="72">
        <v>14</v>
      </c>
      <c r="P13" s="71">
        <v>24408</v>
      </c>
      <c r="Q13" s="72">
        <v>32</v>
      </c>
      <c r="R13" s="71">
        <v>3102</v>
      </c>
      <c r="S13" s="72">
        <v>4</v>
      </c>
      <c r="T13" s="71">
        <v>972</v>
      </c>
      <c r="U13" s="72">
        <v>1</v>
      </c>
      <c r="V13" s="71">
        <v>37184</v>
      </c>
      <c r="W13" s="72">
        <v>46</v>
      </c>
      <c r="X13" s="71">
        <v>53381</v>
      </c>
      <c r="Y13" s="72">
        <v>71</v>
      </c>
      <c r="Z13" s="71">
        <v>1664</v>
      </c>
      <c r="AA13" s="72">
        <v>2</v>
      </c>
      <c r="AB13" s="71"/>
      <c r="AC13" s="72"/>
      <c r="AD13" s="71"/>
      <c r="AE13" s="72"/>
      <c r="AF13" s="71">
        <v>264</v>
      </c>
      <c r="AG13" s="72">
        <v>3</v>
      </c>
      <c r="AH13" s="73">
        <f t="shared" si="0"/>
        <v>208030</v>
      </c>
      <c r="AI13" s="74">
        <f t="shared" si="0"/>
        <v>300</v>
      </c>
    </row>
    <row r="14" spans="1:35" ht="15" customHeight="1" x14ac:dyDescent="0.25">
      <c r="A14" s="70">
        <v>46124</v>
      </c>
      <c r="B14" s="71">
        <v>2736</v>
      </c>
      <c r="C14" s="72">
        <v>9</v>
      </c>
      <c r="D14" s="71">
        <v>90</v>
      </c>
      <c r="E14" s="72">
        <v>1</v>
      </c>
      <c r="F14" s="71">
        <v>16880</v>
      </c>
      <c r="G14" s="72">
        <v>19</v>
      </c>
      <c r="H14" s="71">
        <v>2128</v>
      </c>
      <c r="I14" s="72">
        <v>6</v>
      </c>
      <c r="J14" s="71"/>
      <c r="K14" s="72"/>
      <c r="L14" s="71">
        <v>50730</v>
      </c>
      <c r="M14" s="72">
        <v>89</v>
      </c>
      <c r="N14" s="71">
        <v>6908</v>
      </c>
      <c r="O14" s="72">
        <v>12</v>
      </c>
      <c r="P14" s="71">
        <v>19491</v>
      </c>
      <c r="Q14" s="72">
        <v>27</v>
      </c>
      <c r="R14" s="71">
        <v>2121</v>
      </c>
      <c r="S14" s="72">
        <v>3</v>
      </c>
      <c r="T14" s="71">
        <v>648</v>
      </c>
      <c r="U14" s="72">
        <v>1</v>
      </c>
      <c r="V14" s="71">
        <v>28928</v>
      </c>
      <c r="W14" s="72">
        <v>40</v>
      </c>
      <c r="X14" s="71">
        <v>30427</v>
      </c>
      <c r="Y14" s="72">
        <v>40</v>
      </c>
      <c r="Z14" s="71">
        <v>2276</v>
      </c>
      <c r="AA14" s="72">
        <v>3</v>
      </c>
      <c r="AB14" s="71">
        <v>5062</v>
      </c>
      <c r="AC14" s="72">
        <v>16</v>
      </c>
      <c r="AD14" s="71"/>
      <c r="AE14" s="72"/>
      <c r="AF14" s="71">
        <v>252</v>
      </c>
      <c r="AG14" s="72">
        <v>3</v>
      </c>
      <c r="AH14" s="73">
        <f t="shared" si="0"/>
        <v>168677</v>
      </c>
      <c r="AI14" s="74">
        <f t="shared" si="0"/>
        <v>269</v>
      </c>
    </row>
    <row r="15" spans="1:35" ht="15" customHeight="1" x14ac:dyDescent="0.25">
      <c r="A15" s="70">
        <v>46125</v>
      </c>
      <c r="B15" s="71">
        <v>2132</v>
      </c>
      <c r="C15" s="72">
        <v>9</v>
      </c>
      <c r="D15" s="71">
        <v>104</v>
      </c>
      <c r="E15" s="72">
        <v>1</v>
      </c>
      <c r="F15" s="71">
        <v>19398</v>
      </c>
      <c r="G15" s="72">
        <v>22</v>
      </c>
      <c r="H15" s="71">
        <v>2120</v>
      </c>
      <c r="I15" s="72">
        <v>6</v>
      </c>
      <c r="J15" s="71"/>
      <c r="K15" s="72"/>
      <c r="L15" s="71">
        <v>49066</v>
      </c>
      <c r="M15" s="72">
        <v>85</v>
      </c>
      <c r="N15" s="71">
        <v>9544</v>
      </c>
      <c r="O15" s="72">
        <v>14</v>
      </c>
      <c r="P15" s="71">
        <v>20581</v>
      </c>
      <c r="Q15" s="72">
        <v>30</v>
      </c>
      <c r="R15" s="71">
        <v>2539</v>
      </c>
      <c r="S15" s="72">
        <v>3</v>
      </c>
      <c r="T15" s="71">
        <v>0</v>
      </c>
      <c r="U15" s="72">
        <v>1</v>
      </c>
      <c r="V15" s="71">
        <v>27816</v>
      </c>
      <c r="W15" s="72">
        <v>38</v>
      </c>
      <c r="X15" s="71">
        <v>30677</v>
      </c>
      <c r="Y15" s="72">
        <v>43</v>
      </c>
      <c r="Z15" s="71">
        <v>1240</v>
      </c>
      <c r="AA15" s="72">
        <v>2</v>
      </c>
      <c r="AB15" s="71">
        <v>4590</v>
      </c>
      <c r="AC15" s="72">
        <v>16</v>
      </c>
      <c r="AD15" s="71">
        <v>70</v>
      </c>
      <c r="AE15" s="72">
        <v>1</v>
      </c>
      <c r="AF15" s="71">
        <v>234</v>
      </c>
      <c r="AG15" s="72">
        <v>3</v>
      </c>
      <c r="AH15" s="73">
        <f t="shared" si="0"/>
        <v>170111</v>
      </c>
      <c r="AI15" s="74">
        <f t="shared" si="0"/>
        <v>274</v>
      </c>
    </row>
    <row r="16" spans="1:35" ht="15" customHeight="1" x14ac:dyDescent="0.25">
      <c r="A16" s="70">
        <v>46126</v>
      </c>
      <c r="B16" s="71">
        <v>2248</v>
      </c>
      <c r="C16" s="72">
        <v>9</v>
      </c>
      <c r="D16" s="71">
        <v>106</v>
      </c>
      <c r="E16" s="72">
        <v>1</v>
      </c>
      <c r="F16" s="71">
        <v>18426</v>
      </c>
      <c r="G16" s="72">
        <v>22</v>
      </c>
      <c r="H16" s="71">
        <v>2468</v>
      </c>
      <c r="I16" s="72">
        <v>7</v>
      </c>
      <c r="J16" s="71"/>
      <c r="K16" s="72"/>
      <c r="L16" s="71">
        <v>42560</v>
      </c>
      <c r="M16" s="72">
        <v>83</v>
      </c>
      <c r="N16" s="71">
        <v>5852</v>
      </c>
      <c r="O16" s="72">
        <v>9</v>
      </c>
      <c r="P16" s="71">
        <v>21053</v>
      </c>
      <c r="Q16" s="72">
        <v>29</v>
      </c>
      <c r="R16" s="71">
        <v>2211</v>
      </c>
      <c r="S16" s="72">
        <v>3</v>
      </c>
      <c r="T16" s="71">
        <v>0</v>
      </c>
      <c r="U16" s="72">
        <v>1</v>
      </c>
      <c r="V16" s="71">
        <v>24688</v>
      </c>
      <c r="W16" s="72">
        <v>35</v>
      </c>
      <c r="X16" s="71">
        <v>33389</v>
      </c>
      <c r="Y16" s="72">
        <v>44</v>
      </c>
      <c r="Z16" s="71">
        <v>1724</v>
      </c>
      <c r="AA16" s="72">
        <v>2</v>
      </c>
      <c r="AB16" s="71">
        <v>4278</v>
      </c>
      <c r="AC16" s="72">
        <v>16</v>
      </c>
      <c r="AD16" s="71"/>
      <c r="AE16" s="72"/>
      <c r="AF16" s="71">
        <v>209</v>
      </c>
      <c r="AG16" s="72">
        <v>3</v>
      </c>
      <c r="AH16" s="73">
        <f t="shared" si="0"/>
        <v>159212</v>
      </c>
      <c r="AI16" s="74">
        <f t="shared" si="0"/>
        <v>264</v>
      </c>
    </row>
    <row r="17" spans="1:35" ht="15" customHeight="1" x14ac:dyDescent="0.25">
      <c r="A17" s="70">
        <v>46127</v>
      </c>
      <c r="B17" s="71">
        <v>2032</v>
      </c>
      <c r="C17" s="72">
        <v>9</v>
      </c>
      <c r="D17" s="71">
        <v>115</v>
      </c>
      <c r="E17" s="72">
        <v>1</v>
      </c>
      <c r="F17" s="71">
        <v>18528</v>
      </c>
      <c r="G17" s="72">
        <v>20</v>
      </c>
      <c r="H17" s="71">
        <v>3156</v>
      </c>
      <c r="I17" s="72">
        <v>12</v>
      </c>
      <c r="J17" s="71"/>
      <c r="K17" s="72"/>
      <c r="L17" s="71">
        <v>43372</v>
      </c>
      <c r="M17" s="72">
        <v>81</v>
      </c>
      <c r="N17" s="71">
        <v>4864</v>
      </c>
      <c r="O17" s="72">
        <v>7</v>
      </c>
      <c r="P17" s="71">
        <v>19104</v>
      </c>
      <c r="Q17" s="72">
        <v>25</v>
      </c>
      <c r="R17" s="71">
        <v>2568</v>
      </c>
      <c r="S17" s="72">
        <v>3</v>
      </c>
      <c r="T17" s="71">
        <v>0</v>
      </c>
      <c r="U17" s="72">
        <v>1</v>
      </c>
      <c r="V17" s="71">
        <v>20380</v>
      </c>
      <c r="W17" s="72">
        <v>28</v>
      </c>
      <c r="X17" s="71">
        <v>37019</v>
      </c>
      <c r="Y17" s="72">
        <v>47</v>
      </c>
      <c r="Z17" s="71">
        <v>1520</v>
      </c>
      <c r="AA17" s="72">
        <v>2</v>
      </c>
      <c r="AB17" s="71">
        <v>4250</v>
      </c>
      <c r="AC17" s="72">
        <v>16</v>
      </c>
      <c r="AD17" s="71"/>
      <c r="AE17" s="72"/>
      <c r="AF17" s="71">
        <v>196</v>
      </c>
      <c r="AG17" s="72">
        <v>3</v>
      </c>
      <c r="AH17" s="73">
        <f t="shared" si="0"/>
        <v>157104</v>
      </c>
      <c r="AI17" s="74">
        <f t="shared" si="0"/>
        <v>255</v>
      </c>
    </row>
    <row r="18" spans="1:35" ht="15" customHeight="1" x14ac:dyDescent="0.25">
      <c r="A18" s="70">
        <v>46128</v>
      </c>
      <c r="B18" s="71">
        <v>3008</v>
      </c>
      <c r="C18" s="72">
        <v>9</v>
      </c>
      <c r="D18" s="71">
        <v>131</v>
      </c>
      <c r="E18" s="72">
        <v>1</v>
      </c>
      <c r="F18" s="71">
        <v>25432</v>
      </c>
      <c r="G18" s="72">
        <v>28</v>
      </c>
      <c r="H18" s="71">
        <v>3520</v>
      </c>
      <c r="I18" s="72">
        <v>12</v>
      </c>
      <c r="J18" s="71"/>
      <c r="K18" s="72"/>
      <c r="L18" s="71">
        <v>46362</v>
      </c>
      <c r="M18" s="72">
        <v>83</v>
      </c>
      <c r="N18" s="71">
        <v>9772</v>
      </c>
      <c r="O18" s="72">
        <v>14</v>
      </c>
      <c r="P18" s="71">
        <v>27581</v>
      </c>
      <c r="Q18" s="72">
        <v>36</v>
      </c>
      <c r="R18" s="71">
        <v>2605</v>
      </c>
      <c r="S18" s="72">
        <v>3</v>
      </c>
      <c r="T18" s="71">
        <v>0</v>
      </c>
      <c r="U18" s="72">
        <v>1</v>
      </c>
      <c r="V18" s="71">
        <v>29412</v>
      </c>
      <c r="W18" s="72">
        <v>39</v>
      </c>
      <c r="X18" s="71">
        <v>43563</v>
      </c>
      <c r="Y18" s="72">
        <v>55</v>
      </c>
      <c r="Z18" s="71">
        <v>2724</v>
      </c>
      <c r="AA18" s="72">
        <v>4</v>
      </c>
      <c r="AB18" s="71">
        <v>4630</v>
      </c>
      <c r="AC18" s="72">
        <v>16</v>
      </c>
      <c r="AD18" s="71"/>
      <c r="AE18" s="72"/>
      <c r="AF18" s="71">
        <v>224</v>
      </c>
      <c r="AG18" s="72">
        <v>3</v>
      </c>
      <c r="AH18" s="73">
        <f t="shared" si="0"/>
        <v>198964</v>
      </c>
      <c r="AI18" s="74">
        <f t="shared" si="0"/>
        <v>304</v>
      </c>
    </row>
    <row r="19" spans="1:35" ht="15" customHeight="1" x14ac:dyDescent="0.25">
      <c r="A19" s="70">
        <v>46130</v>
      </c>
      <c r="B19" s="71">
        <v>3012</v>
      </c>
      <c r="C19" s="72">
        <v>9</v>
      </c>
      <c r="D19" s="71">
        <v>140</v>
      </c>
      <c r="E19" s="72">
        <v>1</v>
      </c>
      <c r="F19" s="71">
        <v>28596</v>
      </c>
      <c r="G19" s="72">
        <v>32</v>
      </c>
      <c r="H19" s="71"/>
      <c r="I19" s="72"/>
      <c r="J19" s="71"/>
      <c r="K19" s="72"/>
      <c r="L19" s="71">
        <v>52162</v>
      </c>
      <c r="M19" s="72">
        <v>88</v>
      </c>
      <c r="N19" s="71">
        <v>6968</v>
      </c>
      <c r="O19" s="72">
        <v>14</v>
      </c>
      <c r="P19" s="71">
        <v>23841</v>
      </c>
      <c r="Q19" s="72">
        <v>31</v>
      </c>
      <c r="R19" s="71">
        <v>3049</v>
      </c>
      <c r="S19" s="72">
        <v>4</v>
      </c>
      <c r="T19" s="71">
        <v>1184</v>
      </c>
      <c r="U19" s="72">
        <v>2</v>
      </c>
      <c r="V19" s="71">
        <v>35308</v>
      </c>
      <c r="W19" s="72">
        <v>45</v>
      </c>
      <c r="X19" s="71">
        <v>59713</v>
      </c>
      <c r="Y19" s="72">
        <v>78</v>
      </c>
      <c r="Z19" s="71">
        <v>1512</v>
      </c>
      <c r="AA19" s="72">
        <v>2</v>
      </c>
      <c r="AB19" s="71"/>
      <c r="AC19" s="72"/>
      <c r="AD19" s="71"/>
      <c r="AE19" s="72"/>
      <c r="AF19" s="71">
        <v>216</v>
      </c>
      <c r="AG19" s="72">
        <v>3</v>
      </c>
      <c r="AH19" s="73">
        <f t="shared" si="0"/>
        <v>215701</v>
      </c>
      <c r="AI19" s="74">
        <f t="shared" si="0"/>
        <v>309</v>
      </c>
    </row>
    <row r="20" spans="1:35" ht="15" customHeight="1" x14ac:dyDescent="0.25">
      <c r="A20" s="70">
        <v>46131</v>
      </c>
      <c r="B20" s="71">
        <v>2564</v>
      </c>
      <c r="C20" s="72">
        <v>9</v>
      </c>
      <c r="D20" s="71">
        <v>127</v>
      </c>
      <c r="E20" s="72">
        <v>1</v>
      </c>
      <c r="F20" s="71">
        <v>20127</v>
      </c>
      <c r="G20" s="72">
        <v>23</v>
      </c>
      <c r="H20" s="71">
        <v>2232</v>
      </c>
      <c r="I20" s="72">
        <v>6</v>
      </c>
      <c r="J20" s="71"/>
      <c r="K20" s="72"/>
      <c r="L20" s="71">
        <v>49810</v>
      </c>
      <c r="M20" s="72">
        <v>87</v>
      </c>
      <c r="N20" s="71">
        <v>7500</v>
      </c>
      <c r="O20" s="72">
        <v>12</v>
      </c>
      <c r="P20" s="71">
        <v>23201</v>
      </c>
      <c r="Q20" s="72">
        <v>31</v>
      </c>
      <c r="R20" s="71">
        <v>2174</v>
      </c>
      <c r="S20" s="72">
        <v>3</v>
      </c>
      <c r="T20" s="71">
        <v>832</v>
      </c>
      <c r="U20" s="72">
        <v>1</v>
      </c>
      <c r="V20" s="71">
        <v>27756</v>
      </c>
      <c r="W20" s="72">
        <v>37</v>
      </c>
      <c r="X20" s="71">
        <v>34219</v>
      </c>
      <c r="Y20" s="72">
        <v>46</v>
      </c>
      <c r="Z20" s="71">
        <v>2144</v>
      </c>
      <c r="AA20" s="72">
        <v>3</v>
      </c>
      <c r="AB20" s="71">
        <v>4530</v>
      </c>
      <c r="AC20" s="72">
        <v>16</v>
      </c>
      <c r="AD20" s="71"/>
      <c r="AE20" s="72"/>
      <c r="AF20" s="71">
        <v>184</v>
      </c>
      <c r="AG20" s="72">
        <v>3</v>
      </c>
      <c r="AH20" s="73">
        <f t="shared" si="0"/>
        <v>177400</v>
      </c>
      <c r="AI20" s="74">
        <f t="shared" si="0"/>
        <v>278</v>
      </c>
    </row>
    <row r="21" spans="1:35" ht="15" customHeight="1" x14ac:dyDescent="0.25">
      <c r="A21" s="70">
        <v>46132</v>
      </c>
      <c r="B21" s="71">
        <v>1840</v>
      </c>
      <c r="C21" s="72">
        <v>9</v>
      </c>
      <c r="D21" s="71">
        <v>151</v>
      </c>
      <c r="E21" s="72">
        <v>1</v>
      </c>
      <c r="F21" s="71">
        <v>21085</v>
      </c>
      <c r="G21" s="72">
        <v>23</v>
      </c>
      <c r="H21" s="71">
        <v>2224</v>
      </c>
      <c r="I21" s="72">
        <v>6</v>
      </c>
      <c r="J21" s="71"/>
      <c r="K21" s="72"/>
      <c r="L21" s="71">
        <v>49192</v>
      </c>
      <c r="M21" s="72">
        <v>85</v>
      </c>
      <c r="N21" s="71">
        <v>8344</v>
      </c>
      <c r="O21" s="72">
        <v>14</v>
      </c>
      <c r="P21" s="71">
        <v>22419</v>
      </c>
      <c r="Q21" s="72">
        <v>30</v>
      </c>
      <c r="R21" s="71">
        <v>2430</v>
      </c>
      <c r="S21" s="72">
        <v>3</v>
      </c>
      <c r="T21" s="71">
        <v>0</v>
      </c>
      <c r="U21" s="72">
        <v>1</v>
      </c>
      <c r="V21" s="71">
        <v>27244</v>
      </c>
      <c r="W21" s="72">
        <v>38</v>
      </c>
      <c r="X21" s="71">
        <v>33008</v>
      </c>
      <c r="Y21" s="72">
        <v>45</v>
      </c>
      <c r="Z21" s="71">
        <v>1136</v>
      </c>
      <c r="AA21" s="72">
        <v>2</v>
      </c>
      <c r="AB21" s="71">
        <v>4710</v>
      </c>
      <c r="AC21" s="72">
        <v>16</v>
      </c>
      <c r="AD21" s="71">
        <v>70</v>
      </c>
      <c r="AE21" s="72">
        <v>1</v>
      </c>
      <c r="AF21" s="71">
        <v>182</v>
      </c>
      <c r="AG21" s="72">
        <v>3</v>
      </c>
      <c r="AH21" s="73">
        <f t="shared" si="0"/>
        <v>174035</v>
      </c>
      <c r="AI21" s="74">
        <f t="shared" si="0"/>
        <v>277</v>
      </c>
    </row>
    <row r="22" spans="1:35" ht="15" customHeight="1" x14ac:dyDescent="0.25">
      <c r="A22" s="70">
        <v>46133</v>
      </c>
      <c r="B22" s="71">
        <v>2564</v>
      </c>
      <c r="C22" s="72">
        <v>9</v>
      </c>
      <c r="D22" s="71">
        <v>138</v>
      </c>
      <c r="E22" s="72">
        <v>1</v>
      </c>
      <c r="F22" s="71">
        <v>21099</v>
      </c>
      <c r="G22" s="72">
        <v>23</v>
      </c>
      <c r="H22" s="71">
        <v>2524</v>
      </c>
      <c r="I22" s="72">
        <v>7</v>
      </c>
      <c r="J22" s="71"/>
      <c r="K22" s="72"/>
      <c r="L22" s="71">
        <v>47482</v>
      </c>
      <c r="M22" s="72">
        <v>87</v>
      </c>
      <c r="N22" s="71">
        <v>6732</v>
      </c>
      <c r="O22" s="72">
        <v>14</v>
      </c>
      <c r="P22" s="71">
        <v>22796</v>
      </c>
      <c r="Q22" s="72">
        <v>31</v>
      </c>
      <c r="R22" s="71">
        <v>2242</v>
      </c>
      <c r="S22" s="72">
        <v>3</v>
      </c>
      <c r="T22" s="71">
        <v>0</v>
      </c>
      <c r="U22" s="72">
        <v>1</v>
      </c>
      <c r="V22" s="71">
        <v>26168</v>
      </c>
      <c r="W22" s="72">
        <v>36</v>
      </c>
      <c r="X22" s="71">
        <v>39234</v>
      </c>
      <c r="Y22" s="72">
        <v>51</v>
      </c>
      <c r="Z22" s="71">
        <v>1548</v>
      </c>
      <c r="AA22" s="72">
        <v>2</v>
      </c>
      <c r="AB22" s="71">
        <v>4280</v>
      </c>
      <c r="AC22" s="72">
        <v>16</v>
      </c>
      <c r="AD22" s="71"/>
      <c r="AE22" s="72"/>
      <c r="AF22" s="71">
        <v>197</v>
      </c>
      <c r="AG22" s="72">
        <v>3</v>
      </c>
      <c r="AH22" s="73">
        <f t="shared" si="0"/>
        <v>177004</v>
      </c>
      <c r="AI22" s="74">
        <f t="shared" si="0"/>
        <v>284</v>
      </c>
    </row>
    <row r="23" spans="1:35" ht="15" customHeight="1" x14ac:dyDescent="0.25">
      <c r="A23" s="70">
        <v>46134</v>
      </c>
      <c r="B23" s="71">
        <v>2024</v>
      </c>
      <c r="C23" s="72">
        <v>9</v>
      </c>
      <c r="D23" s="71">
        <v>132</v>
      </c>
      <c r="E23" s="72">
        <v>1</v>
      </c>
      <c r="F23" s="71">
        <v>18584</v>
      </c>
      <c r="G23" s="72">
        <v>21</v>
      </c>
      <c r="H23" s="71">
        <v>3300</v>
      </c>
      <c r="I23" s="72">
        <v>12</v>
      </c>
      <c r="J23" s="71"/>
      <c r="K23" s="72"/>
      <c r="L23" s="71">
        <v>49416</v>
      </c>
      <c r="M23" s="72">
        <v>86</v>
      </c>
      <c r="N23" s="71">
        <v>6900</v>
      </c>
      <c r="O23" s="72">
        <v>14</v>
      </c>
      <c r="P23" s="71">
        <v>17734</v>
      </c>
      <c r="Q23" s="72">
        <v>24</v>
      </c>
      <c r="R23" s="71">
        <v>2534</v>
      </c>
      <c r="S23" s="72">
        <v>3</v>
      </c>
      <c r="T23" s="71">
        <v>0</v>
      </c>
      <c r="U23" s="72">
        <v>1</v>
      </c>
      <c r="V23" s="71">
        <v>22764</v>
      </c>
      <c r="W23" s="72">
        <v>30</v>
      </c>
      <c r="X23" s="71">
        <v>34512</v>
      </c>
      <c r="Y23" s="72">
        <v>43</v>
      </c>
      <c r="Z23" s="71">
        <v>1680</v>
      </c>
      <c r="AA23" s="72">
        <v>2</v>
      </c>
      <c r="AB23" s="71">
        <v>4566</v>
      </c>
      <c r="AC23" s="72">
        <v>16</v>
      </c>
      <c r="AD23" s="71"/>
      <c r="AE23" s="72"/>
      <c r="AF23" s="71">
        <v>200</v>
      </c>
      <c r="AG23" s="72">
        <v>3</v>
      </c>
      <c r="AH23" s="73">
        <f t="shared" si="0"/>
        <v>164346</v>
      </c>
      <c r="AI23" s="74">
        <f t="shared" si="0"/>
        <v>265</v>
      </c>
    </row>
    <row r="24" spans="1:35" ht="15" customHeight="1" x14ac:dyDescent="0.25">
      <c r="A24" s="70">
        <v>46135</v>
      </c>
      <c r="B24" s="71">
        <v>3036</v>
      </c>
      <c r="C24" s="72">
        <v>9</v>
      </c>
      <c r="D24" s="71">
        <v>131</v>
      </c>
      <c r="E24" s="72">
        <v>1</v>
      </c>
      <c r="F24" s="71">
        <v>23841</v>
      </c>
      <c r="G24" s="72">
        <v>29</v>
      </c>
      <c r="H24" s="71">
        <v>3740</v>
      </c>
      <c r="I24" s="72">
        <v>13</v>
      </c>
      <c r="J24" s="71"/>
      <c r="K24" s="72"/>
      <c r="L24" s="71">
        <v>49924</v>
      </c>
      <c r="M24" s="72">
        <v>90</v>
      </c>
      <c r="N24" s="71">
        <v>8316</v>
      </c>
      <c r="O24" s="72">
        <v>14</v>
      </c>
      <c r="P24" s="71">
        <v>28650</v>
      </c>
      <c r="Q24" s="72">
        <v>39</v>
      </c>
      <c r="R24" s="71">
        <v>2617</v>
      </c>
      <c r="S24" s="72">
        <v>3</v>
      </c>
      <c r="T24" s="71">
        <v>0</v>
      </c>
      <c r="U24" s="72">
        <v>1</v>
      </c>
      <c r="V24" s="71">
        <v>30840</v>
      </c>
      <c r="W24" s="72">
        <v>40</v>
      </c>
      <c r="X24" s="71">
        <v>40965</v>
      </c>
      <c r="Y24" s="72">
        <v>50</v>
      </c>
      <c r="Z24" s="71">
        <v>2688</v>
      </c>
      <c r="AA24" s="72">
        <v>4</v>
      </c>
      <c r="AB24" s="71">
        <v>4326</v>
      </c>
      <c r="AC24" s="72">
        <v>16</v>
      </c>
      <c r="AD24" s="71"/>
      <c r="AE24" s="72"/>
      <c r="AF24" s="71">
        <v>193</v>
      </c>
      <c r="AG24" s="72">
        <v>3</v>
      </c>
      <c r="AH24" s="73">
        <f t="shared" si="0"/>
        <v>199267</v>
      </c>
      <c r="AI24" s="74">
        <f t="shared" si="0"/>
        <v>312</v>
      </c>
    </row>
    <row r="25" spans="1:35" ht="15" customHeight="1" x14ac:dyDescent="0.25">
      <c r="A25" s="70">
        <v>46136</v>
      </c>
      <c r="B25" s="71"/>
      <c r="C25" s="72"/>
      <c r="D25" s="71"/>
      <c r="E25" s="72"/>
      <c r="F25" s="71"/>
      <c r="G25" s="72"/>
      <c r="H25" s="71">
        <v>4044</v>
      </c>
      <c r="I25" s="72">
        <v>11</v>
      </c>
      <c r="J25" s="71"/>
      <c r="K25" s="72"/>
      <c r="L25" s="71">
        <v>42280</v>
      </c>
      <c r="M25" s="72">
        <v>83</v>
      </c>
      <c r="N25" s="71"/>
      <c r="O25" s="72"/>
      <c r="P25" s="71"/>
      <c r="Q25" s="72"/>
      <c r="R25" s="71"/>
      <c r="S25" s="72"/>
      <c r="T25" s="71"/>
      <c r="U25" s="72"/>
      <c r="V25" s="71"/>
      <c r="W25" s="72"/>
      <c r="X25" s="71"/>
      <c r="Y25" s="72"/>
      <c r="Z25" s="71"/>
      <c r="AA25" s="72"/>
      <c r="AB25" s="71">
        <v>7864</v>
      </c>
      <c r="AC25" s="72">
        <v>16</v>
      </c>
      <c r="AD25" s="71"/>
      <c r="AE25" s="72"/>
      <c r="AF25" s="71">
        <v>214</v>
      </c>
      <c r="AG25" s="72">
        <v>3</v>
      </c>
      <c r="AH25" s="73">
        <f t="shared" si="0"/>
        <v>54402</v>
      </c>
      <c r="AI25" s="74">
        <f t="shared" si="0"/>
        <v>113</v>
      </c>
    </row>
    <row r="26" spans="1:35" ht="15" customHeight="1" x14ac:dyDescent="0.25">
      <c r="A26" s="70">
        <v>46137</v>
      </c>
      <c r="B26" s="71">
        <v>3032</v>
      </c>
      <c r="C26" s="72">
        <v>9</v>
      </c>
      <c r="D26" s="71">
        <v>147</v>
      </c>
      <c r="E26" s="72">
        <v>1</v>
      </c>
      <c r="F26" s="71">
        <v>29401</v>
      </c>
      <c r="G26" s="72">
        <v>33</v>
      </c>
      <c r="H26" s="71"/>
      <c r="I26" s="72"/>
      <c r="J26" s="71"/>
      <c r="K26" s="72"/>
      <c r="L26" s="71">
        <v>56662</v>
      </c>
      <c r="M26" s="72">
        <v>97</v>
      </c>
      <c r="N26" s="71">
        <v>7976</v>
      </c>
      <c r="O26" s="72">
        <v>14</v>
      </c>
      <c r="P26" s="71">
        <v>27871</v>
      </c>
      <c r="Q26" s="72">
        <v>36</v>
      </c>
      <c r="R26" s="71">
        <v>3097</v>
      </c>
      <c r="S26" s="72">
        <v>4</v>
      </c>
      <c r="T26" s="71">
        <v>1176</v>
      </c>
      <c r="U26" s="72">
        <v>2</v>
      </c>
      <c r="V26" s="71">
        <v>36152</v>
      </c>
      <c r="W26" s="72">
        <v>45</v>
      </c>
      <c r="X26" s="71">
        <v>59159</v>
      </c>
      <c r="Y26" s="72">
        <v>78</v>
      </c>
      <c r="Z26" s="71">
        <v>1444</v>
      </c>
      <c r="AA26" s="72">
        <v>2</v>
      </c>
      <c r="AB26" s="71"/>
      <c r="AC26" s="72"/>
      <c r="AD26" s="71"/>
      <c r="AE26" s="72"/>
      <c r="AF26" s="71">
        <v>191</v>
      </c>
      <c r="AG26" s="72">
        <v>3</v>
      </c>
      <c r="AH26" s="73">
        <f t="shared" si="0"/>
        <v>226308</v>
      </c>
      <c r="AI26" s="74">
        <f t="shared" si="0"/>
        <v>324</v>
      </c>
    </row>
    <row r="27" spans="1:35" ht="15" customHeight="1" x14ac:dyDescent="0.25">
      <c r="A27" s="70">
        <v>46138</v>
      </c>
      <c r="B27" s="71">
        <v>0</v>
      </c>
      <c r="C27" s="72">
        <v>0</v>
      </c>
      <c r="D27" s="71">
        <v>114</v>
      </c>
      <c r="E27" s="72">
        <v>1</v>
      </c>
      <c r="F27" s="71">
        <v>20329</v>
      </c>
      <c r="G27" s="72">
        <v>23</v>
      </c>
      <c r="H27" s="71">
        <v>2212</v>
      </c>
      <c r="I27" s="72">
        <v>6</v>
      </c>
      <c r="J27" s="71"/>
      <c r="K27" s="72"/>
      <c r="L27" s="71">
        <v>52776</v>
      </c>
      <c r="M27" s="72">
        <v>94</v>
      </c>
      <c r="N27" s="71">
        <v>7348</v>
      </c>
      <c r="O27" s="72">
        <v>14</v>
      </c>
      <c r="P27" s="71">
        <v>25338</v>
      </c>
      <c r="Q27" s="72">
        <v>36</v>
      </c>
      <c r="R27" s="71">
        <v>2291</v>
      </c>
      <c r="S27" s="72">
        <v>3</v>
      </c>
      <c r="T27" s="71">
        <v>852</v>
      </c>
      <c r="U27" s="72">
        <v>1</v>
      </c>
      <c r="V27" s="71">
        <v>28472</v>
      </c>
      <c r="W27" s="72">
        <v>39</v>
      </c>
      <c r="X27" s="71">
        <v>35513</v>
      </c>
      <c r="Y27" s="72">
        <v>47</v>
      </c>
      <c r="Z27" s="71">
        <v>2060</v>
      </c>
      <c r="AA27" s="72">
        <v>3</v>
      </c>
      <c r="AB27" s="71">
        <v>3940</v>
      </c>
      <c r="AC27" s="72">
        <v>16</v>
      </c>
      <c r="AD27" s="71"/>
      <c r="AE27" s="72"/>
      <c r="AF27" s="71">
        <v>182</v>
      </c>
      <c r="AG27" s="72">
        <v>3</v>
      </c>
      <c r="AH27" s="73">
        <f t="shared" si="0"/>
        <v>181427</v>
      </c>
      <c r="AI27" s="74">
        <f t="shared" si="0"/>
        <v>286</v>
      </c>
    </row>
    <row r="28" spans="1:35" ht="15" customHeight="1" x14ac:dyDescent="0.25">
      <c r="A28" s="70">
        <v>46139</v>
      </c>
      <c r="B28" s="71">
        <v>1340</v>
      </c>
      <c r="C28" s="72">
        <v>9</v>
      </c>
      <c r="D28" s="71">
        <v>131</v>
      </c>
      <c r="E28" s="72">
        <v>1</v>
      </c>
      <c r="F28" s="71">
        <v>20297</v>
      </c>
      <c r="G28" s="72">
        <v>23</v>
      </c>
      <c r="H28" s="71">
        <v>2324</v>
      </c>
      <c r="I28" s="72">
        <v>6</v>
      </c>
      <c r="J28" s="71"/>
      <c r="K28" s="72"/>
      <c r="L28" s="71">
        <v>51034</v>
      </c>
      <c r="M28" s="72">
        <v>90</v>
      </c>
      <c r="N28" s="71">
        <v>8472</v>
      </c>
      <c r="O28" s="72">
        <v>14</v>
      </c>
      <c r="P28" s="71">
        <v>24345</v>
      </c>
      <c r="Q28" s="72">
        <v>32</v>
      </c>
      <c r="R28" s="71">
        <v>2513</v>
      </c>
      <c r="S28" s="72">
        <v>3</v>
      </c>
      <c r="T28" s="71">
        <v>0</v>
      </c>
      <c r="U28" s="72">
        <v>1</v>
      </c>
      <c r="V28" s="71">
        <v>28556</v>
      </c>
      <c r="W28" s="72">
        <v>38</v>
      </c>
      <c r="X28" s="71">
        <v>33706</v>
      </c>
      <c r="Y28" s="72">
        <v>46</v>
      </c>
      <c r="Z28" s="71">
        <v>1300</v>
      </c>
      <c r="AA28" s="72">
        <v>2</v>
      </c>
      <c r="AB28" s="71">
        <v>4182</v>
      </c>
      <c r="AC28" s="72">
        <v>16</v>
      </c>
      <c r="AD28" s="71">
        <v>70</v>
      </c>
      <c r="AE28" s="72">
        <v>1</v>
      </c>
      <c r="AF28" s="71">
        <v>190</v>
      </c>
      <c r="AG28" s="72">
        <v>3</v>
      </c>
      <c r="AH28" s="73">
        <f t="shared" si="0"/>
        <v>178460</v>
      </c>
      <c r="AI28" s="74">
        <f t="shared" si="0"/>
        <v>285</v>
      </c>
    </row>
    <row r="29" spans="1:35" ht="15" customHeight="1" x14ac:dyDescent="0.25">
      <c r="A29" s="70">
        <v>46141</v>
      </c>
      <c r="B29" s="71">
        <v>1032</v>
      </c>
      <c r="C29" s="72">
        <v>9</v>
      </c>
      <c r="D29" s="71">
        <v>133</v>
      </c>
      <c r="E29" s="72">
        <v>1</v>
      </c>
      <c r="F29" s="71">
        <v>18326</v>
      </c>
      <c r="G29" s="72">
        <v>20</v>
      </c>
      <c r="H29" s="71">
        <v>3668</v>
      </c>
      <c r="I29" s="72">
        <v>13</v>
      </c>
      <c r="J29" s="71"/>
      <c r="K29" s="72"/>
      <c r="L29" s="71">
        <v>54416</v>
      </c>
      <c r="M29" s="72">
        <v>93</v>
      </c>
      <c r="N29" s="71">
        <v>7304</v>
      </c>
      <c r="O29" s="72">
        <v>14</v>
      </c>
      <c r="P29" s="71">
        <v>21689</v>
      </c>
      <c r="Q29" s="72">
        <v>30</v>
      </c>
      <c r="R29" s="71">
        <v>2216</v>
      </c>
      <c r="S29" s="72">
        <v>3</v>
      </c>
      <c r="T29" s="71">
        <v>0</v>
      </c>
      <c r="U29" s="72">
        <v>1</v>
      </c>
      <c r="V29" s="71">
        <v>24840</v>
      </c>
      <c r="W29" s="72">
        <v>35</v>
      </c>
      <c r="X29" s="71">
        <v>34117</v>
      </c>
      <c r="Y29" s="72">
        <v>45</v>
      </c>
      <c r="Z29" s="71">
        <v>1612</v>
      </c>
      <c r="AA29" s="72">
        <v>2</v>
      </c>
      <c r="AB29" s="71">
        <v>4408</v>
      </c>
      <c r="AC29" s="72">
        <v>16</v>
      </c>
      <c r="AD29" s="71"/>
      <c r="AE29" s="72"/>
      <c r="AF29" s="71">
        <v>179</v>
      </c>
      <c r="AG29" s="72">
        <v>3</v>
      </c>
      <c r="AH29" s="73">
        <f t="shared" si="0"/>
        <v>173940</v>
      </c>
      <c r="AI29" s="74">
        <f t="shared" si="0"/>
        <v>285</v>
      </c>
    </row>
    <row r="30" spans="1:35" ht="15" customHeight="1" x14ac:dyDescent="0.25">
      <c r="A30" s="70">
        <v>46142</v>
      </c>
      <c r="B30" s="71">
        <v>1700</v>
      </c>
      <c r="C30" s="72">
        <v>9</v>
      </c>
      <c r="D30" s="71">
        <v>119</v>
      </c>
      <c r="E30" s="72">
        <v>1</v>
      </c>
      <c r="F30" s="71">
        <v>23477</v>
      </c>
      <c r="G30" s="72">
        <v>26</v>
      </c>
      <c r="H30" s="71">
        <v>4168</v>
      </c>
      <c r="I30" s="72">
        <v>14</v>
      </c>
      <c r="J30" s="71"/>
      <c r="K30" s="72"/>
      <c r="L30" s="71">
        <v>55078</v>
      </c>
      <c r="M30" s="72">
        <v>99</v>
      </c>
      <c r="N30" s="71">
        <v>7256</v>
      </c>
      <c r="O30" s="72">
        <v>14</v>
      </c>
      <c r="P30" s="71">
        <v>28667</v>
      </c>
      <c r="Q30" s="72">
        <v>40</v>
      </c>
      <c r="R30" s="71">
        <v>2413</v>
      </c>
      <c r="S30" s="72">
        <v>3</v>
      </c>
      <c r="T30" s="71">
        <v>0</v>
      </c>
      <c r="U30" s="72">
        <v>1</v>
      </c>
      <c r="V30" s="71">
        <v>26296</v>
      </c>
      <c r="W30" s="72">
        <v>38</v>
      </c>
      <c r="X30" s="71">
        <v>40128</v>
      </c>
      <c r="Y30" s="72">
        <v>49</v>
      </c>
      <c r="Z30" s="71">
        <v>2876</v>
      </c>
      <c r="AA30" s="72">
        <v>4</v>
      </c>
      <c r="AB30" s="71">
        <v>4486</v>
      </c>
      <c r="AC30" s="72">
        <v>16</v>
      </c>
      <c r="AD30" s="71"/>
      <c r="AE30" s="72"/>
      <c r="AF30" s="71">
        <v>188</v>
      </c>
      <c r="AG30" s="72">
        <v>3</v>
      </c>
      <c r="AH30" s="73">
        <f t="shared" si="0"/>
        <v>196852</v>
      </c>
      <c r="AI30" s="74">
        <f t="shared" si="0"/>
        <v>317</v>
      </c>
    </row>
    <row r="31" spans="1:35" ht="15" customHeight="1" x14ac:dyDescent="0.25">
      <c r="A31" s="70">
        <v>46143</v>
      </c>
      <c r="B31" s="71"/>
      <c r="C31" s="72"/>
      <c r="D31" s="71"/>
      <c r="E31" s="72"/>
      <c r="F31" s="71"/>
      <c r="G31" s="72"/>
      <c r="H31" s="71">
        <v>4060</v>
      </c>
      <c r="I31" s="72">
        <v>11</v>
      </c>
      <c r="J31" s="71"/>
      <c r="K31" s="72"/>
      <c r="L31" s="71">
        <v>44612</v>
      </c>
      <c r="M31" s="72">
        <v>86</v>
      </c>
      <c r="N31" s="71"/>
      <c r="O31" s="72"/>
      <c r="P31" s="71"/>
      <c r="Q31" s="72"/>
      <c r="R31" s="71"/>
      <c r="S31" s="72"/>
      <c r="T31" s="71"/>
      <c r="U31" s="72"/>
      <c r="V31" s="71"/>
      <c r="W31" s="72"/>
      <c r="X31" s="71"/>
      <c r="Y31" s="72"/>
      <c r="Z31" s="71"/>
      <c r="AA31" s="72"/>
      <c r="AB31" s="71">
        <v>7200</v>
      </c>
      <c r="AC31" s="72">
        <v>16</v>
      </c>
      <c r="AD31" s="71"/>
      <c r="AE31" s="72"/>
      <c r="AF31" s="71">
        <v>215</v>
      </c>
      <c r="AG31" s="72">
        <v>3</v>
      </c>
      <c r="AH31" s="73">
        <f t="shared" si="0"/>
        <v>56087</v>
      </c>
      <c r="AI31" s="74">
        <f t="shared" si="0"/>
        <v>116</v>
      </c>
    </row>
    <row r="32" spans="1:35" ht="15" customHeight="1" x14ac:dyDescent="0.25">
      <c r="A32" s="70">
        <v>46144</v>
      </c>
      <c r="B32" s="71">
        <v>2068</v>
      </c>
      <c r="C32" s="72">
        <v>9</v>
      </c>
      <c r="D32" s="71">
        <v>147</v>
      </c>
      <c r="E32" s="72">
        <v>1</v>
      </c>
      <c r="F32" s="71">
        <v>26807</v>
      </c>
      <c r="G32" s="72">
        <v>30</v>
      </c>
      <c r="H32" s="71"/>
      <c r="I32" s="72"/>
      <c r="J32" s="71"/>
      <c r="K32" s="72"/>
      <c r="L32" s="71">
        <v>48358</v>
      </c>
      <c r="M32" s="72">
        <v>88</v>
      </c>
      <c r="N32" s="71">
        <v>6984</v>
      </c>
      <c r="O32" s="72">
        <v>14</v>
      </c>
      <c r="P32" s="71">
        <v>17970</v>
      </c>
      <c r="Q32" s="72">
        <v>25</v>
      </c>
      <c r="R32" s="71">
        <v>2471</v>
      </c>
      <c r="S32" s="72">
        <v>4</v>
      </c>
      <c r="T32" s="71">
        <v>328</v>
      </c>
      <c r="U32" s="72">
        <v>1</v>
      </c>
      <c r="V32" s="71">
        <v>29184</v>
      </c>
      <c r="W32" s="72">
        <v>42</v>
      </c>
      <c r="X32" s="71">
        <v>43068</v>
      </c>
      <c r="Y32" s="72">
        <v>56</v>
      </c>
      <c r="Z32" s="71">
        <v>1244</v>
      </c>
      <c r="AA32" s="72">
        <v>2</v>
      </c>
      <c r="AB32" s="71"/>
      <c r="AC32" s="72"/>
      <c r="AD32" s="71"/>
      <c r="AE32" s="72"/>
      <c r="AF32" s="71">
        <v>226</v>
      </c>
      <c r="AG32" s="72">
        <v>3</v>
      </c>
      <c r="AH32" s="73">
        <f t="shared" si="0"/>
        <v>178855</v>
      </c>
      <c r="AI32" s="74">
        <f t="shared" si="0"/>
        <v>275</v>
      </c>
    </row>
    <row r="33" spans="1:35" ht="15" customHeight="1" x14ac:dyDescent="0.25">
      <c r="A33" s="70">
        <v>46146</v>
      </c>
      <c r="B33" s="71">
        <v>1244</v>
      </c>
      <c r="C33" s="72">
        <v>9</v>
      </c>
      <c r="D33" s="71">
        <v>137</v>
      </c>
      <c r="E33" s="72">
        <v>1</v>
      </c>
      <c r="F33" s="71">
        <v>20319</v>
      </c>
      <c r="G33" s="72">
        <v>23</v>
      </c>
      <c r="H33" s="71">
        <v>2232</v>
      </c>
      <c r="I33" s="72">
        <v>7</v>
      </c>
      <c r="J33" s="71"/>
      <c r="K33" s="72"/>
      <c r="L33" s="71">
        <v>52812</v>
      </c>
      <c r="M33" s="72">
        <v>87</v>
      </c>
      <c r="N33" s="71">
        <v>8432</v>
      </c>
      <c r="O33" s="72">
        <v>14</v>
      </c>
      <c r="P33" s="71">
        <v>22151</v>
      </c>
      <c r="Q33" s="72">
        <v>30</v>
      </c>
      <c r="R33" s="71">
        <v>1660</v>
      </c>
      <c r="S33" s="72">
        <v>3</v>
      </c>
      <c r="T33" s="71">
        <v>260</v>
      </c>
      <c r="U33" s="72">
        <v>1</v>
      </c>
      <c r="V33" s="71">
        <v>27228</v>
      </c>
      <c r="W33" s="72">
        <v>39</v>
      </c>
      <c r="X33" s="71">
        <v>35989</v>
      </c>
      <c r="Y33" s="72">
        <v>45</v>
      </c>
      <c r="Z33" s="71">
        <v>1380</v>
      </c>
      <c r="AA33" s="72">
        <v>2</v>
      </c>
      <c r="AB33" s="71">
        <v>4410</v>
      </c>
      <c r="AC33" s="72">
        <v>16</v>
      </c>
      <c r="AD33" s="71">
        <v>70</v>
      </c>
      <c r="AE33" s="72">
        <v>1</v>
      </c>
      <c r="AF33" s="71">
        <v>196</v>
      </c>
      <c r="AG33" s="72">
        <v>3</v>
      </c>
      <c r="AH33" s="73">
        <f t="shared" si="0"/>
        <v>178520</v>
      </c>
      <c r="AI33" s="74">
        <f t="shared" si="0"/>
        <v>281</v>
      </c>
    </row>
    <row r="34" spans="1:35" ht="15" customHeight="1" x14ac:dyDescent="0.25">
      <c r="A34" s="70">
        <v>46149</v>
      </c>
      <c r="B34" s="71">
        <v>1064</v>
      </c>
      <c r="C34" s="72">
        <v>9</v>
      </c>
      <c r="D34" s="71">
        <v>117</v>
      </c>
      <c r="E34" s="72">
        <v>1</v>
      </c>
      <c r="F34" s="71">
        <v>23861</v>
      </c>
      <c r="G34" s="72">
        <v>26</v>
      </c>
      <c r="H34" s="71">
        <v>3880</v>
      </c>
      <c r="I34" s="72">
        <v>14</v>
      </c>
      <c r="J34" s="71"/>
      <c r="K34" s="72"/>
      <c r="L34" s="71">
        <v>53264</v>
      </c>
      <c r="M34" s="72">
        <v>94</v>
      </c>
      <c r="N34" s="71">
        <v>8320</v>
      </c>
      <c r="O34" s="72">
        <v>14</v>
      </c>
      <c r="P34" s="71">
        <v>27888</v>
      </c>
      <c r="Q34" s="72">
        <v>35</v>
      </c>
      <c r="R34" s="71">
        <v>1753</v>
      </c>
      <c r="S34" s="72">
        <v>3</v>
      </c>
      <c r="T34" s="71">
        <v>28</v>
      </c>
      <c r="U34" s="72">
        <v>1</v>
      </c>
      <c r="V34" s="71">
        <v>30152</v>
      </c>
      <c r="W34" s="72">
        <v>40</v>
      </c>
      <c r="X34" s="71">
        <v>47057</v>
      </c>
      <c r="Y34" s="72">
        <v>61</v>
      </c>
      <c r="Z34" s="71">
        <v>2600</v>
      </c>
      <c r="AA34" s="72">
        <v>3</v>
      </c>
      <c r="AB34" s="71">
        <v>4750</v>
      </c>
      <c r="AC34" s="72">
        <v>16</v>
      </c>
      <c r="AD34" s="71"/>
      <c r="AE34" s="72"/>
      <c r="AF34" s="71">
        <v>228</v>
      </c>
      <c r="AG34" s="72">
        <v>3</v>
      </c>
      <c r="AH34" s="73">
        <f t="shared" si="0"/>
        <v>204962</v>
      </c>
      <c r="AI34" s="74">
        <f t="shared" si="0"/>
        <v>320</v>
      </c>
    </row>
    <row r="35" spans="1:35" ht="15" customHeight="1" x14ac:dyDescent="0.25">
      <c r="A35" s="70">
        <v>46150</v>
      </c>
      <c r="B35" s="71"/>
      <c r="C35" s="72"/>
      <c r="D35" s="71"/>
      <c r="E35" s="72"/>
      <c r="F35" s="71"/>
      <c r="G35" s="72"/>
      <c r="H35" s="71">
        <v>4280</v>
      </c>
      <c r="I35" s="72">
        <v>11</v>
      </c>
      <c r="J35" s="71"/>
      <c r="K35" s="72"/>
      <c r="L35" s="71">
        <v>39632</v>
      </c>
      <c r="M35" s="72">
        <v>79</v>
      </c>
      <c r="N35" s="71"/>
      <c r="O35" s="72"/>
      <c r="P35" s="71"/>
      <c r="Q35" s="72"/>
      <c r="R35" s="71"/>
      <c r="S35" s="72"/>
      <c r="T35" s="71"/>
      <c r="U35" s="72"/>
      <c r="V35" s="71"/>
      <c r="W35" s="72"/>
      <c r="X35" s="71"/>
      <c r="Y35" s="72"/>
      <c r="Z35" s="71"/>
      <c r="AA35" s="72"/>
      <c r="AB35" s="71">
        <v>7110</v>
      </c>
      <c r="AC35" s="72">
        <v>16</v>
      </c>
      <c r="AD35" s="71"/>
      <c r="AE35" s="72"/>
      <c r="AF35" s="71">
        <v>229</v>
      </c>
      <c r="AG35" s="72">
        <v>3</v>
      </c>
      <c r="AH35" s="73">
        <f t="shared" ref="AH35:AI66" si="1">B35+D35+F35+H35+J35+L35+N35+P35+R35+T35+V35+X35+Z35+AB35+AD35+AF35</f>
        <v>51251</v>
      </c>
      <c r="AI35" s="74">
        <f t="shared" si="1"/>
        <v>109</v>
      </c>
    </row>
    <row r="36" spans="1:35" ht="15" customHeight="1" x14ac:dyDescent="0.25">
      <c r="A36" s="70">
        <v>46151</v>
      </c>
      <c r="B36" s="71">
        <v>1828</v>
      </c>
      <c r="C36" s="72">
        <v>9</v>
      </c>
      <c r="D36" s="71">
        <v>149</v>
      </c>
      <c r="E36" s="72">
        <v>1</v>
      </c>
      <c r="F36" s="71">
        <v>28718</v>
      </c>
      <c r="G36" s="72">
        <v>32</v>
      </c>
      <c r="H36" s="71"/>
      <c r="I36" s="72"/>
      <c r="J36" s="71"/>
      <c r="K36" s="72"/>
      <c r="L36" s="71">
        <v>52282</v>
      </c>
      <c r="M36" s="72">
        <v>94</v>
      </c>
      <c r="N36" s="71">
        <v>7972</v>
      </c>
      <c r="O36" s="72">
        <v>14</v>
      </c>
      <c r="P36" s="71">
        <v>30510</v>
      </c>
      <c r="Q36" s="72">
        <v>38</v>
      </c>
      <c r="R36" s="71">
        <v>2625</v>
      </c>
      <c r="S36" s="72">
        <v>4</v>
      </c>
      <c r="T36" s="71">
        <v>1168</v>
      </c>
      <c r="U36" s="72">
        <v>2</v>
      </c>
      <c r="V36" s="71">
        <v>35656</v>
      </c>
      <c r="W36" s="72">
        <v>45</v>
      </c>
      <c r="X36" s="71">
        <v>59099</v>
      </c>
      <c r="Y36" s="72">
        <v>76</v>
      </c>
      <c r="Z36" s="71">
        <v>1672</v>
      </c>
      <c r="AA36" s="72">
        <v>2</v>
      </c>
      <c r="AB36" s="71"/>
      <c r="AC36" s="72"/>
      <c r="AD36" s="71"/>
      <c r="AE36" s="72"/>
      <c r="AF36" s="71">
        <v>226</v>
      </c>
      <c r="AG36" s="72">
        <v>3</v>
      </c>
      <c r="AH36" s="73">
        <f t="shared" si="1"/>
        <v>221905</v>
      </c>
      <c r="AI36" s="74">
        <f t="shared" si="1"/>
        <v>320</v>
      </c>
    </row>
    <row r="37" spans="1:35" ht="15" customHeight="1" x14ac:dyDescent="0.25">
      <c r="A37" s="70">
        <v>46152</v>
      </c>
      <c r="B37" s="71">
        <v>1768</v>
      </c>
      <c r="C37" s="72">
        <v>9</v>
      </c>
      <c r="D37" s="71">
        <v>105</v>
      </c>
      <c r="E37" s="72">
        <v>1</v>
      </c>
      <c r="F37" s="71">
        <v>20179</v>
      </c>
      <c r="G37" s="72">
        <v>23</v>
      </c>
      <c r="H37" s="71">
        <v>2352</v>
      </c>
      <c r="I37" s="72">
        <v>6</v>
      </c>
      <c r="J37" s="71"/>
      <c r="K37" s="72"/>
      <c r="L37" s="71">
        <v>54070</v>
      </c>
      <c r="M37" s="72">
        <v>92</v>
      </c>
      <c r="N37" s="71">
        <v>7464</v>
      </c>
      <c r="O37" s="72">
        <v>14</v>
      </c>
      <c r="P37" s="71">
        <v>26188</v>
      </c>
      <c r="Q37" s="72">
        <v>36</v>
      </c>
      <c r="R37" s="71">
        <v>2054</v>
      </c>
      <c r="S37" s="72">
        <v>3</v>
      </c>
      <c r="T37" s="71">
        <v>928</v>
      </c>
      <c r="U37" s="72">
        <v>1</v>
      </c>
      <c r="V37" s="71">
        <v>27800</v>
      </c>
      <c r="W37" s="72">
        <v>39</v>
      </c>
      <c r="X37" s="71">
        <v>34619</v>
      </c>
      <c r="Y37" s="72">
        <v>44</v>
      </c>
      <c r="Z37" s="71">
        <v>1952</v>
      </c>
      <c r="AA37" s="72">
        <v>3</v>
      </c>
      <c r="AB37" s="71">
        <v>4120</v>
      </c>
      <c r="AC37" s="72">
        <v>16</v>
      </c>
      <c r="AD37" s="71"/>
      <c r="AE37" s="72"/>
      <c r="AF37" s="71">
        <v>204</v>
      </c>
      <c r="AG37" s="72">
        <v>3</v>
      </c>
      <c r="AH37" s="73">
        <f t="shared" si="1"/>
        <v>183803</v>
      </c>
      <c r="AI37" s="74">
        <f t="shared" si="1"/>
        <v>290</v>
      </c>
    </row>
    <row r="38" spans="1:35" ht="15" customHeight="1" x14ac:dyDescent="0.25">
      <c r="A38" s="70">
        <v>46154</v>
      </c>
      <c r="B38" s="71">
        <v>1600</v>
      </c>
      <c r="C38" s="72">
        <v>9</v>
      </c>
      <c r="D38" s="71">
        <v>106</v>
      </c>
      <c r="E38" s="72">
        <v>1</v>
      </c>
      <c r="F38" s="71">
        <v>20898</v>
      </c>
      <c r="G38" s="72">
        <v>23</v>
      </c>
      <c r="H38" s="71">
        <v>2712</v>
      </c>
      <c r="I38" s="72">
        <v>8</v>
      </c>
      <c r="J38" s="71"/>
      <c r="K38" s="72"/>
      <c r="L38" s="71">
        <v>52918</v>
      </c>
      <c r="M38" s="72">
        <v>94</v>
      </c>
      <c r="N38" s="71">
        <v>6644</v>
      </c>
      <c r="O38" s="72">
        <v>14</v>
      </c>
      <c r="P38" s="71">
        <v>21355</v>
      </c>
      <c r="Q38" s="72">
        <v>30</v>
      </c>
      <c r="R38" s="71">
        <v>2019</v>
      </c>
      <c r="S38" s="72">
        <v>3</v>
      </c>
      <c r="T38" s="71">
        <v>0</v>
      </c>
      <c r="U38" s="72">
        <v>1</v>
      </c>
      <c r="V38" s="71">
        <v>25580</v>
      </c>
      <c r="W38" s="72">
        <v>35</v>
      </c>
      <c r="X38" s="71">
        <v>34963</v>
      </c>
      <c r="Y38" s="72">
        <v>45</v>
      </c>
      <c r="Z38" s="71">
        <v>1908</v>
      </c>
      <c r="AA38" s="72">
        <v>3</v>
      </c>
      <c r="AB38" s="71">
        <v>4182</v>
      </c>
      <c r="AC38" s="72">
        <v>16</v>
      </c>
      <c r="AD38" s="71"/>
      <c r="AE38" s="72"/>
      <c r="AF38" s="71">
        <v>163</v>
      </c>
      <c r="AG38" s="72">
        <v>3</v>
      </c>
      <c r="AH38" s="73">
        <f t="shared" si="1"/>
        <v>175048</v>
      </c>
      <c r="AI38" s="74">
        <f t="shared" si="1"/>
        <v>285</v>
      </c>
    </row>
    <row r="39" spans="1:35" ht="15" customHeight="1" x14ac:dyDescent="0.25">
      <c r="A39" s="70">
        <v>46155</v>
      </c>
      <c r="B39" s="71">
        <v>2204</v>
      </c>
      <c r="C39" s="72">
        <v>9</v>
      </c>
      <c r="D39" s="71">
        <v>121</v>
      </c>
      <c r="E39" s="72">
        <v>1</v>
      </c>
      <c r="F39" s="71">
        <v>18933</v>
      </c>
      <c r="G39" s="72">
        <v>21</v>
      </c>
      <c r="H39" s="71">
        <v>3764</v>
      </c>
      <c r="I39" s="72">
        <v>13</v>
      </c>
      <c r="J39" s="71"/>
      <c r="K39" s="72"/>
      <c r="L39" s="71">
        <v>55524</v>
      </c>
      <c r="M39" s="72">
        <v>94</v>
      </c>
      <c r="N39" s="71">
        <v>7024</v>
      </c>
      <c r="O39" s="72">
        <v>14</v>
      </c>
      <c r="P39" s="71">
        <v>19861</v>
      </c>
      <c r="Q39" s="72">
        <v>29</v>
      </c>
      <c r="R39" s="71">
        <v>2328</v>
      </c>
      <c r="S39" s="72">
        <v>3</v>
      </c>
      <c r="T39" s="71">
        <v>0</v>
      </c>
      <c r="U39" s="72">
        <v>1</v>
      </c>
      <c r="V39" s="71">
        <v>21988</v>
      </c>
      <c r="W39" s="72">
        <v>29</v>
      </c>
      <c r="X39" s="71">
        <v>31606</v>
      </c>
      <c r="Y39" s="72">
        <v>40</v>
      </c>
      <c r="Z39" s="71">
        <v>1484</v>
      </c>
      <c r="AA39" s="72">
        <v>2</v>
      </c>
      <c r="AB39" s="71">
        <v>4444</v>
      </c>
      <c r="AC39" s="72">
        <v>16</v>
      </c>
      <c r="AD39" s="71"/>
      <c r="AE39" s="72"/>
      <c r="AF39" s="71">
        <v>192</v>
      </c>
      <c r="AG39" s="72">
        <v>3</v>
      </c>
      <c r="AH39" s="73">
        <f t="shared" si="1"/>
        <v>169473</v>
      </c>
      <c r="AI39" s="74">
        <f t="shared" si="1"/>
        <v>275</v>
      </c>
    </row>
    <row r="40" spans="1:35" ht="15" customHeight="1" x14ac:dyDescent="0.25">
      <c r="A40" s="70">
        <v>46156</v>
      </c>
      <c r="B40" s="71">
        <v>2784</v>
      </c>
      <c r="C40" s="72">
        <v>9</v>
      </c>
      <c r="D40" s="71">
        <v>108</v>
      </c>
      <c r="E40" s="72">
        <v>1</v>
      </c>
      <c r="F40" s="71">
        <v>19176</v>
      </c>
      <c r="G40" s="72">
        <v>23</v>
      </c>
      <c r="H40" s="71">
        <v>4088</v>
      </c>
      <c r="I40" s="72">
        <v>14</v>
      </c>
      <c r="J40" s="71"/>
      <c r="K40" s="72"/>
      <c r="L40" s="71">
        <v>49216</v>
      </c>
      <c r="M40" s="72">
        <v>87</v>
      </c>
      <c r="N40" s="71">
        <v>8420</v>
      </c>
      <c r="O40" s="72">
        <v>14</v>
      </c>
      <c r="P40" s="71">
        <v>28238</v>
      </c>
      <c r="Q40" s="72">
        <v>35</v>
      </c>
      <c r="R40" s="71">
        <v>2532</v>
      </c>
      <c r="S40" s="72">
        <v>3</v>
      </c>
      <c r="T40" s="71">
        <v>0</v>
      </c>
      <c r="U40" s="72">
        <v>1</v>
      </c>
      <c r="V40" s="71">
        <v>27440</v>
      </c>
      <c r="W40" s="72">
        <v>37</v>
      </c>
      <c r="X40" s="71">
        <v>44619</v>
      </c>
      <c r="Y40" s="72">
        <v>55</v>
      </c>
      <c r="Z40" s="71">
        <v>2664</v>
      </c>
      <c r="AA40" s="72">
        <v>4</v>
      </c>
      <c r="AB40" s="71">
        <v>4806</v>
      </c>
      <c r="AC40" s="72">
        <v>16</v>
      </c>
      <c r="AD40" s="71"/>
      <c r="AE40" s="72"/>
      <c r="AF40" s="71">
        <v>195</v>
      </c>
      <c r="AG40" s="72">
        <v>3</v>
      </c>
      <c r="AH40" s="73">
        <f t="shared" si="1"/>
        <v>194286</v>
      </c>
      <c r="AI40" s="74">
        <f t="shared" si="1"/>
        <v>302</v>
      </c>
    </row>
    <row r="41" spans="1:35" ht="15" customHeight="1" x14ac:dyDescent="0.25">
      <c r="A41" s="70">
        <v>46162</v>
      </c>
      <c r="B41" s="71">
        <v>2628</v>
      </c>
      <c r="C41" s="72">
        <v>9</v>
      </c>
      <c r="D41" s="71">
        <v>2443</v>
      </c>
      <c r="E41" s="72">
        <v>2</v>
      </c>
      <c r="F41" s="71">
        <v>16671</v>
      </c>
      <c r="G41" s="72">
        <v>21</v>
      </c>
      <c r="H41" s="71">
        <v>3248</v>
      </c>
      <c r="I41" s="72">
        <v>12</v>
      </c>
      <c r="J41" s="71"/>
      <c r="K41" s="72"/>
      <c r="L41" s="71">
        <v>51268</v>
      </c>
      <c r="M41" s="72">
        <v>89</v>
      </c>
      <c r="N41" s="71">
        <v>7228</v>
      </c>
      <c r="O41" s="72">
        <v>14</v>
      </c>
      <c r="P41" s="71">
        <v>21498</v>
      </c>
      <c r="Q41" s="72">
        <v>30</v>
      </c>
      <c r="R41" s="71">
        <v>2387</v>
      </c>
      <c r="S41" s="72">
        <v>3</v>
      </c>
      <c r="T41" s="71">
        <v>0</v>
      </c>
      <c r="U41" s="72">
        <v>1</v>
      </c>
      <c r="V41" s="71">
        <v>26936</v>
      </c>
      <c r="W41" s="72">
        <v>37</v>
      </c>
      <c r="X41" s="71">
        <v>38842</v>
      </c>
      <c r="Y41" s="72">
        <v>51</v>
      </c>
      <c r="Z41" s="71">
        <v>1720</v>
      </c>
      <c r="AA41" s="72">
        <v>2</v>
      </c>
      <c r="AB41" s="71">
        <v>4164</v>
      </c>
      <c r="AC41" s="72">
        <v>16</v>
      </c>
      <c r="AD41" s="71"/>
      <c r="AE41" s="72"/>
      <c r="AF41" s="71">
        <v>198</v>
      </c>
      <c r="AG41" s="72">
        <v>3</v>
      </c>
      <c r="AH41" s="73">
        <f t="shared" si="1"/>
        <v>179231</v>
      </c>
      <c r="AI41" s="74">
        <f t="shared" si="1"/>
        <v>290</v>
      </c>
    </row>
    <row r="42" spans="1:35" ht="15" customHeight="1" x14ac:dyDescent="0.25">
      <c r="A42" s="70">
        <v>46163</v>
      </c>
      <c r="B42" s="71">
        <v>5424</v>
      </c>
      <c r="C42" s="72">
        <v>9</v>
      </c>
      <c r="D42" s="71">
        <v>2247</v>
      </c>
      <c r="E42" s="72">
        <v>2</v>
      </c>
      <c r="F42" s="71">
        <v>14425</v>
      </c>
      <c r="G42" s="72">
        <v>15</v>
      </c>
      <c r="H42" s="71">
        <v>3804</v>
      </c>
      <c r="I42" s="72">
        <v>13</v>
      </c>
      <c r="J42" s="71"/>
      <c r="K42" s="72"/>
      <c r="L42" s="71">
        <v>46466</v>
      </c>
      <c r="M42" s="72">
        <v>84</v>
      </c>
      <c r="N42" s="71">
        <v>7524</v>
      </c>
      <c r="O42" s="72">
        <v>14</v>
      </c>
      <c r="P42" s="71">
        <v>33028</v>
      </c>
      <c r="Q42" s="72">
        <v>42</v>
      </c>
      <c r="R42" s="71">
        <v>2563</v>
      </c>
      <c r="S42" s="72">
        <v>4</v>
      </c>
      <c r="T42" s="71">
        <v>0</v>
      </c>
      <c r="U42" s="72">
        <v>1</v>
      </c>
      <c r="V42" s="71">
        <v>32996</v>
      </c>
      <c r="W42" s="72">
        <v>43</v>
      </c>
      <c r="X42" s="71">
        <v>43631</v>
      </c>
      <c r="Y42" s="72">
        <v>53</v>
      </c>
      <c r="Z42" s="71">
        <v>2880</v>
      </c>
      <c r="AA42" s="72">
        <v>4</v>
      </c>
      <c r="AB42" s="71">
        <v>4336</v>
      </c>
      <c r="AC42" s="72">
        <v>16</v>
      </c>
      <c r="AD42" s="71"/>
      <c r="AE42" s="72"/>
      <c r="AF42" s="71">
        <v>263</v>
      </c>
      <c r="AG42" s="72">
        <v>3</v>
      </c>
      <c r="AH42" s="73">
        <f t="shared" si="1"/>
        <v>199587</v>
      </c>
      <c r="AI42" s="74">
        <f t="shared" si="1"/>
        <v>303</v>
      </c>
    </row>
    <row r="43" spans="1:35" ht="15" customHeight="1" x14ac:dyDescent="0.25">
      <c r="A43" s="70">
        <v>46165</v>
      </c>
      <c r="B43" s="71">
        <v>4484</v>
      </c>
      <c r="C43" s="72">
        <v>9</v>
      </c>
      <c r="D43" s="71">
        <v>3652</v>
      </c>
      <c r="E43" s="72">
        <v>4</v>
      </c>
      <c r="F43" s="71">
        <v>13778</v>
      </c>
      <c r="G43" s="72">
        <v>14</v>
      </c>
      <c r="H43" s="71"/>
      <c r="I43" s="72"/>
      <c r="J43" s="71"/>
      <c r="K43" s="72"/>
      <c r="L43" s="71">
        <v>51594</v>
      </c>
      <c r="M43" s="72">
        <v>92</v>
      </c>
      <c r="N43" s="71">
        <v>7520</v>
      </c>
      <c r="O43" s="72">
        <v>14</v>
      </c>
      <c r="P43" s="71">
        <v>21721</v>
      </c>
      <c r="Q43" s="72">
        <v>27</v>
      </c>
      <c r="R43" s="71">
        <v>2810</v>
      </c>
      <c r="S43" s="72">
        <v>4</v>
      </c>
      <c r="T43" s="71">
        <v>304</v>
      </c>
      <c r="U43" s="72">
        <v>1</v>
      </c>
      <c r="V43" s="71">
        <v>34740</v>
      </c>
      <c r="W43" s="72">
        <v>44</v>
      </c>
      <c r="X43" s="71">
        <v>48477</v>
      </c>
      <c r="Y43" s="72">
        <v>62</v>
      </c>
      <c r="Z43" s="71">
        <v>1452</v>
      </c>
      <c r="AA43" s="72">
        <v>2</v>
      </c>
      <c r="AB43" s="71"/>
      <c r="AC43" s="72"/>
      <c r="AD43" s="71"/>
      <c r="AE43" s="72"/>
      <c r="AF43" s="71">
        <v>264</v>
      </c>
      <c r="AG43" s="72">
        <v>3</v>
      </c>
      <c r="AH43" s="73">
        <f t="shared" si="1"/>
        <v>190796</v>
      </c>
      <c r="AI43" s="74">
        <f t="shared" si="1"/>
        <v>276</v>
      </c>
    </row>
    <row r="44" spans="1:35" ht="15" customHeight="1" x14ac:dyDescent="0.25">
      <c r="A44" s="70">
        <v>46166</v>
      </c>
      <c r="B44" s="71">
        <v>3116</v>
      </c>
      <c r="C44" s="72">
        <v>9</v>
      </c>
      <c r="D44" s="71">
        <v>1694</v>
      </c>
      <c r="E44" s="72">
        <v>2</v>
      </c>
      <c r="F44" s="71">
        <v>21708</v>
      </c>
      <c r="G44" s="72">
        <v>25</v>
      </c>
      <c r="H44" s="71">
        <v>2040</v>
      </c>
      <c r="I44" s="72">
        <v>6</v>
      </c>
      <c r="J44" s="71"/>
      <c r="K44" s="72"/>
      <c r="L44" s="71">
        <v>51736</v>
      </c>
      <c r="M44" s="72">
        <v>91</v>
      </c>
      <c r="N44" s="71">
        <v>8384</v>
      </c>
      <c r="O44" s="72">
        <v>14</v>
      </c>
      <c r="P44" s="71">
        <v>30816</v>
      </c>
      <c r="Q44" s="72">
        <v>37</v>
      </c>
      <c r="R44" s="71">
        <v>2364</v>
      </c>
      <c r="S44" s="72">
        <v>3</v>
      </c>
      <c r="T44" s="71">
        <v>820</v>
      </c>
      <c r="U44" s="72">
        <v>1</v>
      </c>
      <c r="V44" s="71">
        <v>32164</v>
      </c>
      <c r="W44" s="72">
        <v>42</v>
      </c>
      <c r="X44" s="71">
        <v>38021</v>
      </c>
      <c r="Y44" s="72">
        <v>50</v>
      </c>
      <c r="Z44" s="71">
        <v>2164</v>
      </c>
      <c r="AA44" s="72">
        <v>3</v>
      </c>
      <c r="AB44" s="71">
        <v>4116</v>
      </c>
      <c r="AC44" s="72">
        <v>16</v>
      </c>
      <c r="AD44" s="71"/>
      <c r="AE44" s="72"/>
      <c r="AF44" s="71">
        <v>250</v>
      </c>
      <c r="AG44" s="72">
        <v>3</v>
      </c>
      <c r="AH44" s="73">
        <f t="shared" si="1"/>
        <v>199393</v>
      </c>
      <c r="AI44" s="74">
        <f t="shared" si="1"/>
        <v>302</v>
      </c>
    </row>
    <row r="45" spans="1:35" ht="15" customHeight="1" x14ac:dyDescent="0.25">
      <c r="A45" s="70">
        <v>46167</v>
      </c>
      <c r="B45" s="71">
        <v>3756</v>
      </c>
      <c r="C45" s="72">
        <v>9</v>
      </c>
      <c r="D45" s="71">
        <v>1582</v>
      </c>
      <c r="E45" s="72">
        <v>2</v>
      </c>
      <c r="F45" s="71">
        <v>15871</v>
      </c>
      <c r="G45" s="72">
        <v>17</v>
      </c>
      <c r="H45" s="71">
        <v>2108</v>
      </c>
      <c r="I45" s="72">
        <v>6</v>
      </c>
      <c r="J45" s="71"/>
      <c r="K45" s="72"/>
      <c r="L45" s="71">
        <v>49778</v>
      </c>
      <c r="M45" s="72">
        <v>89</v>
      </c>
      <c r="N45" s="71">
        <v>9064</v>
      </c>
      <c r="O45" s="72">
        <v>14</v>
      </c>
      <c r="P45" s="71">
        <v>26588</v>
      </c>
      <c r="Q45" s="72">
        <v>34</v>
      </c>
      <c r="R45" s="71">
        <v>2484</v>
      </c>
      <c r="S45" s="72">
        <v>3</v>
      </c>
      <c r="T45" s="71">
        <v>0</v>
      </c>
      <c r="U45" s="72">
        <v>1</v>
      </c>
      <c r="V45" s="71">
        <v>28716</v>
      </c>
      <c r="W45" s="72">
        <v>39</v>
      </c>
      <c r="X45" s="71">
        <v>36248</v>
      </c>
      <c r="Y45" s="72">
        <v>49</v>
      </c>
      <c r="Z45" s="71">
        <v>1416</v>
      </c>
      <c r="AA45" s="72">
        <v>2</v>
      </c>
      <c r="AB45" s="71">
        <v>3808</v>
      </c>
      <c r="AC45" s="72">
        <v>16</v>
      </c>
      <c r="AD45" s="71">
        <v>62</v>
      </c>
      <c r="AE45" s="72">
        <v>1</v>
      </c>
      <c r="AF45" s="71">
        <v>230</v>
      </c>
      <c r="AG45" s="72">
        <v>3</v>
      </c>
      <c r="AH45" s="73">
        <f t="shared" si="1"/>
        <v>181711</v>
      </c>
      <c r="AI45" s="74">
        <f t="shared" si="1"/>
        <v>285</v>
      </c>
    </row>
    <row r="46" spans="1:35" ht="15" customHeight="1" x14ac:dyDescent="0.25">
      <c r="A46" s="70">
        <v>46173</v>
      </c>
      <c r="B46" s="71">
        <v>2688</v>
      </c>
      <c r="C46" s="72">
        <v>9</v>
      </c>
      <c r="D46" s="71">
        <v>1718</v>
      </c>
      <c r="E46" s="72">
        <v>2</v>
      </c>
      <c r="F46" s="71">
        <v>17735</v>
      </c>
      <c r="G46" s="72">
        <v>20</v>
      </c>
      <c r="H46" s="71">
        <v>1508</v>
      </c>
      <c r="I46" s="72">
        <v>5</v>
      </c>
      <c r="J46" s="71"/>
      <c r="K46" s="72"/>
      <c r="L46" s="71">
        <v>53970</v>
      </c>
      <c r="M46" s="72">
        <v>89</v>
      </c>
      <c r="N46" s="71">
        <v>6944</v>
      </c>
      <c r="O46" s="72">
        <v>14</v>
      </c>
      <c r="P46" s="71">
        <v>25339</v>
      </c>
      <c r="Q46" s="72">
        <v>30</v>
      </c>
      <c r="R46" s="71">
        <v>2271</v>
      </c>
      <c r="S46" s="72">
        <v>3</v>
      </c>
      <c r="T46" s="71">
        <v>692</v>
      </c>
      <c r="U46" s="72">
        <v>1</v>
      </c>
      <c r="V46" s="71">
        <v>30836</v>
      </c>
      <c r="W46" s="72">
        <v>40</v>
      </c>
      <c r="X46" s="71">
        <v>30499</v>
      </c>
      <c r="Y46" s="72">
        <v>41</v>
      </c>
      <c r="Z46" s="71">
        <v>2448</v>
      </c>
      <c r="AA46" s="72">
        <v>4</v>
      </c>
      <c r="AB46" s="71">
        <v>4772</v>
      </c>
      <c r="AC46" s="72">
        <v>16</v>
      </c>
      <c r="AD46" s="71"/>
      <c r="AE46" s="72"/>
      <c r="AF46" s="71">
        <v>254</v>
      </c>
      <c r="AG46" s="72">
        <v>3</v>
      </c>
      <c r="AH46" s="73">
        <f t="shared" si="1"/>
        <v>181674</v>
      </c>
      <c r="AI46" s="74">
        <f t="shared" si="1"/>
        <v>277</v>
      </c>
    </row>
    <row r="47" spans="1:35" ht="15" customHeight="1" x14ac:dyDescent="0.25">
      <c r="A47" s="70">
        <v>46174</v>
      </c>
      <c r="B47" s="71">
        <v>3164</v>
      </c>
      <c r="C47" s="72">
        <v>9</v>
      </c>
      <c r="D47" s="71">
        <v>1839</v>
      </c>
      <c r="E47" s="72">
        <v>2</v>
      </c>
      <c r="F47" s="71">
        <v>18292</v>
      </c>
      <c r="G47" s="72">
        <v>20</v>
      </c>
      <c r="H47" s="71">
        <v>1564</v>
      </c>
      <c r="I47" s="72">
        <v>5</v>
      </c>
      <c r="J47" s="71"/>
      <c r="K47" s="72"/>
      <c r="L47" s="71">
        <v>52514</v>
      </c>
      <c r="M47" s="72">
        <v>87</v>
      </c>
      <c r="N47" s="71">
        <v>9012</v>
      </c>
      <c r="O47" s="72">
        <v>14</v>
      </c>
      <c r="P47" s="71">
        <v>24739</v>
      </c>
      <c r="Q47" s="72">
        <v>32</v>
      </c>
      <c r="R47" s="71">
        <v>2602</v>
      </c>
      <c r="S47" s="72">
        <v>4</v>
      </c>
      <c r="T47" s="71">
        <v>0</v>
      </c>
      <c r="U47" s="72">
        <v>1</v>
      </c>
      <c r="V47" s="71">
        <v>29032</v>
      </c>
      <c r="W47" s="72">
        <v>38</v>
      </c>
      <c r="X47" s="71">
        <v>31120</v>
      </c>
      <c r="Y47" s="72">
        <v>41</v>
      </c>
      <c r="Z47" s="71">
        <v>1612</v>
      </c>
      <c r="AA47" s="72">
        <v>2</v>
      </c>
      <c r="AB47" s="71">
        <v>4404</v>
      </c>
      <c r="AC47" s="72">
        <v>16</v>
      </c>
      <c r="AD47" s="71">
        <v>52</v>
      </c>
      <c r="AE47" s="72">
        <v>1</v>
      </c>
      <c r="AF47" s="71">
        <v>216</v>
      </c>
      <c r="AG47" s="72">
        <v>3</v>
      </c>
      <c r="AH47" s="73">
        <f t="shared" si="1"/>
        <v>180162</v>
      </c>
      <c r="AI47" s="74">
        <f t="shared" si="1"/>
        <v>275</v>
      </c>
    </row>
    <row r="48" spans="1:35" ht="15" customHeight="1" x14ac:dyDescent="0.25">
      <c r="A48" s="70">
        <v>46175</v>
      </c>
      <c r="B48" s="71">
        <v>4016</v>
      </c>
      <c r="C48" s="72">
        <v>9</v>
      </c>
      <c r="D48" s="71">
        <v>1870</v>
      </c>
      <c r="E48" s="72">
        <v>2</v>
      </c>
      <c r="F48" s="71">
        <v>22737</v>
      </c>
      <c r="G48" s="72">
        <v>25</v>
      </c>
      <c r="H48" s="71">
        <v>1800</v>
      </c>
      <c r="I48" s="72">
        <v>6</v>
      </c>
      <c r="J48" s="71"/>
      <c r="K48" s="72"/>
      <c r="L48" s="71">
        <v>51006</v>
      </c>
      <c r="M48" s="72">
        <v>89</v>
      </c>
      <c r="N48" s="71">
        <v>6204</v>
      </c>
      <c r="O48" s="72">
        <v>14</v>
      </c>
      <c r="P48" s="71">
        <v>22997</v>
      </c>
      <c r="Q48" s="72">
        <v>31</v>
      </c>
      <c r="R48" s="71">
        <v>2222</v>
      </c>
      <c r="S48" s="72">
        <v>3</v>
      </c>
      <c r="T48" s="71">
        <v>0</v>
      </c>
      <c r="U48" s="72">
        <v>1</v>
      </c>
      <c r="V48" s="71">
        <v>28244</v>
      </c>
      <c r="W48" s="72">
        <v>36</v>
      </c>
      <c r="X48" s="71">
        <v>34616</v>
      </c>
      <c r="Y48" s="72">
        <v>45</v>
      </c>
      <c r="Z48" s="71">
        <v>2080</v>
      </c>
      <c r="AA48" s="72">
        <v>3</v>
      </c>
      <c r="AB48" s="71">
        <v>4270</v>
      </c>
      <c r="AC48" s="72">
        <v>16</v>
      </c>
      <c r="AD48" s="71"/>
      <c r="AE48" s="72"/>
      <c r="AF48" s="71">
        <v>223</v>
      </c>
      <c r="AG48" s="72">
        <v>3</v>
      </c>
      <c r="AH48" s="73">
        <f t="shared" si="1"/>
        <v>182285</v>
      </c>
      <c r="AI48" s="74">
        <f t="shared" si="1"/>
        <v>283</v>
      </c>
    </row>
    <row r="49" spans="1:35" ht="15" customHeight="1" x14ac:dyDescent="0.25">
      <c r="A49" s="70">
        <v>46176</v>
      </c>
      <c r="B49" s="71">
        <v>3648</v>
      </c>
      <c r="C49" s="72">
        <v>9</v>
      </c>
      <c r="D49" s="71">
        <v>2561</v>
      </c>
      <c r="E49" s="72">
        <v>3</v>
      </c>
      <c r="F49" s="71">
        <v>15785</v>
      </c>
      <c r="G49" s="72">
        <v>18</v>
      </c>
      <c r="H49" s="71">
        <v>2556</v>
      </c>
      <c r="I49" s="72">
        <v>11</v>
      </c>
      <c r="J49" s="71"/>
      <c r="K49" s="72"/>
      <c r="L49" s="71">
        <v>42908</v>
      </c>
      <c r="M49" s="72">
        <v>80</v>
      </c>
      <c r="N49" s="71">
        <v>7104</v>
      </c>
      <c r="O49" s="72">
        <v>14</v>
      </c>
      <c r="P49" s="71">
        <v>22097</v>
      </c>
      <c r="Q49" s="72">
        <v>31</v>
      </c>
      <c r="R49" s="71">
        <v>2659</v>
      </c>
      <c r="S49" s="72">
        <v>4</v>
      </c>
      <c r="T49" s="71">
        <v>0</v>
      </c>
      <c r="U49" s="72">
        <v>1</v>
      </c>
      <c r="V49" s="71">
        <v>22388</v>
      </c>
      <c r="W49" s="72">
        <v>33</v>
      </c>
      <c r="X49" s="71">
        <v>32034</v>
      </c>
      <c r="Y49" s="72">
        <v>41</v>
      </c>
      <c r="Z49" s="71">
        <v>2124</v>
      </c>
      <c r="AA49" s="72">
        <v>3</v>
      </c>
      <c r="AB49" s="71">
        <v>5798</v>
      </c>
      <c r="AC49" s="72">
        <v>18</v>
      </c>
      <c r="AD49" s="71"/>
      <c r="AE49" s="72"/>
      <c r="AF49" s="71">
        <v>220</v>
      </c>
      <c r="AG49" s="72">
        <v>3</v>
      </c>
      <c r="AH49" s="73">
        <f t="shared" si="1"/>
        <v>161882</v>
      </c>
      <c r="AI49" s="74">
        <f t="shared" si="1"/>
        <v>269</v>
      </c>
    </row>
    <row r="50" spans="1:35" ht="15" customHeight="1" x14ac:dyDescent="0.25">
      <c r="A50" s="70">
        <v>46177</v>
      </c>
      <c r="B50" s="71">
        <v>6052</v>
      </c>
      <c r="C50" s="72">
        <v>10</v>
      </c>
      <c r="D50" s="71">
        <v>2587</v>
      </c>
      <c r="E50" s="72">
        <v>3</v>
      </c>
      <c r="F50" s="71">
        <v>20874</v>
      </c>
      <c r="G50" s="72">
        <v>23</v>
      </c>
      <c r="H50" s="71">
        <v>2748</v>
      </c>
      <c r="I50" s="72">
        <v>12</v>
      </c>
      <c r="J50" s="71"/>
      <c r="K50" s="72"/>
      <c r="L50" s="71">
        <v>51440</v>
      </c>
      <c r="M50" s="72">
        <v>80</v>
      </c>
      <c r="N50" s="71">
        <v>7936</v>
      </c>
      <c r="O50" s="72">
        <v>14</v>
      </c>
      <c r="P50" s="71">
        <v>30069</v>
      </c>
      <c r="Q50" s="72">
        <v>38</v>
      </c>
      <c r="R50" s="71">
        <v>2743</v>
      </c>
      <c r="S50" s="72">
        <v>4</v>
      </c>
      <c r="T50" s="71">
        <v>56</v>
      </c>
      <c r="U50" s="72">
        <v>1</v>
      </c>
      <c r="V50" s="71">
        <v>30952</v>
      </c>
      <c r="W50" s="72">
        <v>39</v>
      </c>
      <c r="X50" s="71">
        <v>42764</v>
      </c>
      <c r="Y50" s="72">
        <v>55</v>
      </c>
      <c r="Z50" s="71">
        <v>3016</v>
      </c>
      <c r="AA50" s="72">
        <v>4</v>
      </c>
      <c r="AB50" s="71">
        <v>4340</v>
      </c>
      <c r="AC50" s="72">
        <v>16</v>
      </c>
      <c r="AD50" s="71"/>
      <c r="AE50" s="72"/>
      <c r="AF50" s="71">
        <v>255</v>
      </c>
      <c r="AG50" s="72">
        <v>3</v>
      </c>
      <c r="AH50" s="73">
        <f t="shared" si="1"/>
        <v>205832</v>
      </c>
      <c r="AI50" s="74">
        <f t="shared" si="1"/>
        <v>302</v>
      </c>
    </row>
    <row r="51" spans="1:35" ht="15" customHeight="1" x14ac:dyDescent="0.25">
      <c r="A51" s="70">
        <v>46178</v>
      </c>
      <c r="B51" s="71"/>
      <c r="C51" s="72"/>
      <c r="D51" s="71"/>
      <c r="E51" s="72"/>
      <c r="F51" s="71"/>
      <c r="G51" s="72"/>
      <c r="H51" s="71">
        <v>2812</v>
      </c>
      <c r="I51" s="72">
        <v>8</v>
      </c>
      <c r="J51" s="71"/>
      <c r="K51" s="72"/>
      <c r="L51" s="71">
        <v>41312</v>
      </c>
      <c r="M51" s="72">
        <v>99</v>
      </c>
      <c r="N51" s="71"/>
      <c r="O51" s="72"/>
      <c r="P51" s="71"/>
      <c r="Q51" s="72"/>
      <c r="R51" s="71"/>
      <c r="S51" s="72"/>
      <c r="T51" s="71"/>
      <c r="U51" s="72"/>
      <c r="V51" s="71"/>
      <c r="W51" s="72"/>
      <c r="X51" s="71"/>
      <c r="Y51" s="72"/>
      <c r="Z51" s="71"/>
      <c r="AA51" s="72"/>
      <c r="AB51" s="71">
        <v>8118</v>
      </c>
      <c r="AC51" s="72">
        <v>16</v>
      </c>
      <c r="AD51" s="71"/>
      <c r="AE51" s="72"/>
      <c r="AF51" s="71">
        <v>291</v>
      </c>
      <c r="AG51" s="72">
        <v>3</v>
      </c>
      <c r="AH51" s="73">
        <f t="shared" si="1"/>
        <v>52533</v>
      </c>
      <c r="AI51" s="74">
        <f t="shared" si="1"/>
        <v>126</v>
      </c>
    </row>
    <row r="52" spans="1:35" ht="15" customHeight="1" x14ac:dyDescent="0.25">
      <c r="A52" s="70">
        <v>46179</v>
      </c>
      <c r="B52" s="71">
        <v>4888</v>
      </c>
      <c r="C52" s="72">
        <v>9</v>
      </c>
      <c r="D52" s="71">
        <v>3092</v>
      </c>
      <c r="E52" s="72">
        <v>3</v>
      </c>
      <c r="F52" s="71">
        <v>23846</v>
      </c>
      <c r="G52" s="72">
        <v>27</v>
      </c>
      <c r="H52" s="71"/>
      <c r="I52" s="72"/>
      <c r="J52" s="71"/>
      <c r="K52" s="72"/>
      <c r="L52" s="71">
        <v>54542</v>
      </c>
      <c r="M52" s="72">
        <v>99</v>
      </c>
      <c r="N52" s="71">
        <v>9496</v>
      </c>
      <c r="O52" s="72">
        <v>14</v>
      </c>
      <c r="P52" s="71">
        <v>27576</v>
      </c>
      <c r="Q52" s="72">
        <v>35</v>
      </c>
      <c r="R52" s="71">
        <v>3075</v>
      </c>
      <c r="S52" s="72">
        <v>4</v>
      </c>
      <c r="T52" s="71">
        <v>1168</v>
      </c>
      <c r="U52" s="72">
        <v>2</v>
      </c>
      <c r="V52" s="71">
        <v>37276</v>
      </c>
      <c r="W52" s="72">
        <v>48</v>
      </c>
      <c r="X52" s="71">
        <v>53869</v>
      </c>
      <c r="Y52" s="72">
        <v>70</v>
      </c>
      <c r="Z52" s="71">
        <v>1872</v>
      </c>
      <c r="AA52" s="72">
        <v>2</v>
      </c>
      <c r="AB52" s="71">
        <v>180</v>
      </c>
      <c r="AC52" s="72">
        <v>1</v>
      </c>
      <c r="AD52" s="71"/>
      <c r="AE52" s="72"/>
      <c r="AF52" s="71">
        <v>283</v>
      </c>
      <c r="AG52" s="72">
        <v>3</v>
      </c>
      <c r="AH52" s="73">
        <f t="shared" si="1"/>
        <v>221163</v>
      </c>
      <c r="AI52" s="74">
        <f t="shared" si="1"/>
        <v>317</v>
      </c>
    </row>
    <row r="53" spans="1:35" ht="15" customHeight="1" x14ac:dyDescent="0.25">
      <c r="A53" s="70">
        <v>46180</v>
      </c>
      <c r="B53" s="71">
        <v>3688</v>
      </c>
      <c r="C53" s="72">
        <v>9</v>
      </c>
      <c r="D53" s="71">
        <v>1844</v>
      </c>
      <c r="E53" s="72">
        <v>2</v>
      </c>
      <c r="F53" s="71">
        <v>18458</v>
      </c>
      <c r="G53" s="72">
        <v>20</v>
      </c>
      <c r="H53" s="71">
        <v>1336</v>
      </c>
      <c r="I53" s="72">
        <v>4</v>
      </c>
      <c r="J53" s="71"/>
      <c r="K53" s="72"/>
      <c r="L53" s="71">
        <v>53920</v>
      </c>
      <c r="M53" s="72">
        <v>94</v>
      </c>
      <c r="N53" s="71">
        <v>5292</v>
      </c>
      <c r="O53" s="72">
        <v>14</v>
      </c>
      <c r="P53" s="71">
        <v>23718</v>
      </c>
      <c r="Q53" s="72">
        <v>31</v>
      </c>
      <c r="R53" s="71">
        <v>2157</v>
      </c>
      <c r="S53" s="72">
        <v>3</v>
      </c>
      <c r="T53" s="71">
        <v>684</v>
      </c>
      <c r="U53" s="72">
        <v>1</v>
      </c>
      <c r="V53" s="71">
        <v>29148</v>
      </c>
      <c r="W53" s="72">
        <v>39</v>
      </c>
      <c r="X53" s="71">
        <v>31373</v>
      </c>
      <c r="Y53" s="72">
        <v>42</v>
      </c>
      <c r="Z53" s="71">
        <v>2304</v>
      </c>
      <c r="AA53" s="72">
        <v>3</v>
      </c>
      <c r="AB53" s="71">
        <v>5060</v>
      </c>
      <c r="AC53" s="72">
        <v>17</v>
      </c>
      <c r="AD53" s="71"/>
      <c r="AE53" s="72"/>
      <c r="AF53" s="71">
        <v>237</v>
      </c>
      <c r="AG53" s="72">
        <v>3</v>
      </c>
      <c r="AH53" s="73">
        <f t="shared" si="1"/>
        <v>179219</v>
      </c>
      <c r="AI53" s="74">
        <f t="shared" si="1"/>
        <v>282</v>
      </c>
    </row>
    <row r="54" spans="1:35" ht="15" customHeight="1" x14ac:dyDescent="0.25">
      <c r="A54" s="70">
        <v>46181</v>
      </c>
      <c r="B54" s="71">
        <v>3852</v>
      </c>
      <c r="C54" s="72">
        <v>9</v>
      </c>
      <c r="D54" s="71">
        <v>1729</v>
      </c>
      <c r="E54" s="72">
        <v>2</v>
      </c>
      <c r="F54" s="71">
        <v>17941</v>
      </c>
      <c r="G54" s="72">
        <v>20</v>
      </c>
      <c r="H54" s="71">
        <v>1308</v>
      </c>
      <c r="I54" s="72">
        <v>4</v>
      </c>
      <c r="J54" s="71"/>
      <c r="K54" s="72"/>
      <c r="L54" s="71">
        <v>52008</v>
      </c>
      <c r="M54" s="72">
        <v>94</v>
      </c>
      <c r="N54" s="71">
        <v>9180</v>
      </c>
      <c r="O54" s="72">
        <v>14</v>
      </c>
      <c r="P54" s="71">
        <v>23166</v>
      </c>
      <c r="Q54" s="72">
        <v>30</v>
      </c>
      <c r="R54" s="71">
        <v>2526</v>
      </c>
      <c r="S54" s="72">
        <v>4</v>
      </c>
      <c r="T54" s="71">
        <v>0</v>
      </c>
      <c r="U54" s="72">
        <v>1</v>
      </c>
      <c r="V54" s="71">
        <v>27288</v>
      </c>
      <c r="W54" s="72">
        <v>38</v>
      </c>
      <c r="X54" s="71">
        <v>29637</v>
      </c>
      <c r="Y54" s="72">
        <v>38</v>
      </c>
      <c r="Z54" s="71">
        <v>1664</v>
      </c>
      <c r="AA54" s="72">
        <v>2</v>
      </c>
      <c r="AB54" s="71">
        <v>4702</v>
      </c>
      <c r="AC54" s="72">
        <v>17</v>
      </c>
      <c r="AD54" s="71">
        <v>62</v>
      </c>
      <c r="AE54" s="72">
        <v>1</v>
      </c>
      <c r="AF54" s="71">
        <v>223</v>
      </c>
      <c r="AG54" s="72">
        <v>3</v>
      </c>
      <c r="AH54" s="73">
        <f t="shared" si="1"/>
        <v>175286</v>
      </c>
      <c r="AI54" s="74">
        <f t="shared" si="1"/>
        <v>277</v>
      </c>
    </row>
    <row r="55" spans="1:35" ht="15" customHeight="1" x14ac:dyDescent="0.25">
      <c r="A55" s="70">
        <v>46182</v>
      </c>
      <c r="B55" s="71">
        <v>3844</v>
      </c>
      <c r="C55" s="72">
        <v>9</v>
      </c>
      <c r="D55" s="71">
        <v>1452</v>
      </c>
      <c r="E55" s="72">
        <v>2</v>
      </c>
      <c r="F55" s="71">
        <v>18711</v>
      </c>
      <c r="G55" s="72">
        <v>20</v>
      </c>
      <c r="H55" s="71">
        <v>1628</v>
      </c>
      <c r="I55" s="72">
        <v>5</v>
      </c>
      <c r="J55" s="71"/>
      <c r="K55" s="72"/>
      <c r="L55" s="71">
        <v>51232</v>
      </c>
      <c r="M55" s="72">
        <v>92</v>
      </c>
      <c r="N55" s="71">
        <v>5340</v>
      </c>
      <c r="O55" s="72">
        <v>14</v>
      </c>
      <c r="P55" s="71">
        <v>23101</v>
      </c>
      <c r="Q55" s="72">
        <v>31</v>
      </c>
      <c r="R55" s="71">
        <v>2200</v>
      </c>
      <c r="S55" s="72">
        <v>3</v>
      </c>
      <c r="T55" s="71">
        <v>0</v>
      </c>
      <c r="U55" s="72">
        <v>1</v>
      </c>
      <c r="V55" s="71">
        <v>27172</v>
      </c>
      <c r="W55" s="72">
        <v>37</v>
      </c>
      <c r="X55" s="71">
        <v>34972</v>
      </c>
      <c r="Y55" s="72">
        <v>46</v>
      </c>
      <c r="Z55" s="71">
        <v>2160</v>
      </c>
      <c r="AA55" s="72">
        <v>3</v>
      </c>
      <c r="AB55" s="71">
        <v>4820</v>
      </c>
      <c r="AC55" s="72">
        <v>17</v>
      </c>
      <c r="AD55" s="71"/>
      <c r="AE55" s="72"/>
      <c r="AF55" s="71">
        <v>215</v>
      </c>
      <c r="AG55" s="72">
        <v>3</v>
      </c>
      <c r="AH55" s="73">
        <f t="shared" si="1"/>
        <v>176847</v>
      </c>
      <c r="AI55" s="74">
        <f t="shared" si="1"/>
        <v>283</v>
      </c>
    </row>
    <row r="56" spans="1:35" ht="15" customHeight="1" x14ac:dyDescent="0.25">
      <c r="A56" s="70">
        <v>46183</v>
      </c>
      <c r="B56" s="71">
        <v>3920</v>
      </c>
      <c r="C56" s="72">
        <v>9</v>
      </c>
      <c r="D56" s="71">
        <v>2094</v>
      </c>
      <c r="E56" s="72">
        <v>2</v>
      </c>
      <c r="F56" s="71">
        <v>16642</v>
      </c>
      <c r="G56" s="72">
        <v>19</v>
      </c>
      <c r="H56" s="71">
        <v>2360</v>
      </c>
      <c r="I56" s="72">
        <v>10</v>
      </c>
      <c r="J56" s="71"/>
      <c r="K56" s="72"/>
      <c r="L56" s="71">
        <v>51830</v>
      </c>
      <c r="M56" s="72">
        <v>98</v>
      </c>
      <c r="N56" s="71">
        <v>7448</v>
      </c>
      <c r="O56" s="72">
        <v>14</v>
      </c>
      <c r="P56" s="71">
        <v>23637</v>
      </c>
      <c r="Q56" s="72">
        <v>32</v>
      </c>
      <c r="R56" s="71">
        <v>2477</v>
      </c>
      <c r="S56" s="72">
        <v>3</v>
      </c>
      <c r="T56" s="71">
        <v>204</v>
      </c>
      <c r="U56" s="72">
        <v>1</v>
      </c>
      <c r="V56" s="71">
        <v>24216</v>
      </c>
      <c r="W56" s="72">
        <v>35</v>
      </c>
      <c r="X56" s="71">
        <v>37025</v>
      </c>
      <c r="Y56" s="72">
        <v>48</v>
      </c>
      <c r="Z56" s="71">
        <v>1792</v>
      </c>
      <c r="AA56" s="72">
        <v>2</v>
      </c>
      <c r="AB56" s="71">
        <v>5898</v>
      </c>
      <c r="AC56" s="72">
        <v>23</v>
      </c>
      <c r="AD56" s="71"/>
      <c r="AE56" s="72"/>
      <c r="AF56" s="71">
        <v>253</v>
      </c>
      <c r="AG56" s="72">
        <v>3</v>
      </c>
      <c r="AH56" s="73">
        <f t="shared" si="1"/>
        <v>179796</v>
      </c>
      <c r="AI56" s="74">
        <f t="shared" si="1"/>
        <v>299</v>
      </c>
    </row>
    <row r="57" spans="1:35" ht="15" customHeight="1" x14ac:dyDescent="0.25">
      <c r="A57" s="70">
        <v>46184</v>
      </c>
      <c r="B57" s="71">
        <v>5760</v>
      </c>
      <c r="C57" s="72">
        <v>9</v>
      </c>
      <c r="D57" s="71">
        <v>2568</v>
      </c>
      <c r="E57" s="72">
        <v>3</v>
      </c>
      <c r="F57" s="71">
        <v>21917</v>
      </c>
      <c r="G57" s="72">
        <v>23</v>
      </c>
      <c r="H57" s="71">
        <v>2528</v>
      </c>
      <c r="I57" s="72">
        <v>11</v>
      </c>
      <c r="J57" s="71"/>
      <c r="K57" s="72"/>
      <c r="L57" s="71">
        <v>56270</v>
      </c>
      <c r="M57" s="72">
        <v>106</v>
      </c>
      <c r="N57" s="71">
        <v>7408</v>
      </c>
      <c r="O57" s="72">
        <v>14</v>
      </c>
      <c r="P57" s="71">
        <v>36530</v>
      </c>
      <c r="Q57" s="72">
        <v>46</v>
      </c>
      <c r="R57" s="71">
        <v>2739</v>
      </c>
      <c r="S57" s="72">
        <v>4</v>
      </c>
      <c r="T57" s="71">
        <v>28</v>
      </c>
      <c r="U57" s="72">
        <v>1</v>
      </c>
      <c r="V57" s="71">
        <v>32276</v>
      </c>
      <c r="W57" s="72">
        <v>41</v>
      </c>
      <c r="X57" s="71">
        <v>47893</v>
      </c>
      <c r="Y57" s="72">
        <v>60</v>
      </c>
      <c r="Z57" s="71">
        <v>2828</v>
      </c>
      <c r="AA57" s="72">
        <v>3</v>
      </c>
      <c r="AB57" s="71">
        <v>4890</v>
      </c>
      <c r="AC57" s="72">
        <v>17</v>
      </c>
      <c r="AD57" s="71"/>
      <c r="AE57" s="72"/>
      <c r="AF57" s="71">
        <v>257</v>
      </c>
      <c r="AG57" s="72">
        <v>3</v>
      </c>
      <c r="AH57" s="73">
        <f t="shared" si="1"/>
        <v>223892</v>
      </c>
      <c r="AI57" s="74">
        <f t="shared" si="1"/>
        <v>341</v>
      </c>
    </row>
    <row r="58" spans="1:35" ht="15" customHeight="1" x14ac:dyDescent="0.25">
      <c r="A58" s="70">
        <v>46185</v>
      </c>
      <c r="B58" s="71"/>
      <c r="C58" s="72"/>
      <c r="D58" s="71"/>
      <c r="E58" s="72"/>
      <c r="F58" s="71"/>
      <c r="G58" s="72"/>
      <c r="H58" s="71">
        <v>2408</v>
      </c>
      <c r="I58" s="72">
        <v>7</v>
      </c>
      <c r="J58" s="71"/>
      <c r="K58" s="72"/>
      <c r="L58" s="71">
        <v>44202</v>
      </c>
      <c r="M58" s="72">
        <v>88</v>
      </c>
      <c r="N58" s="71"/>
      <c r="O58" s="72"/>
      <c r="P58" s="71"/>
      <c r="Q58" s="72"/>
      <c r="R58" s="71"/>
      <c r="S58" s="72"/>
      <c r="T58" s="71"/>
      <c r="U58" s="72"/>
      <c r="V58" s="71"/>
      <c r="W58" s="72"/>
      <c r="X58" s="71"/>
      <c r="Y58" s="72"/>
      <c r="Z58" s="71"/>
      <c r="AA58" s="72"/>
      <c r="AB58" s="71">
        <v>7902</v>
      </c>
      <c r="AC58" s="72">
        <v>16</v>
      </c>
      <c r="AD58" s="71"/>
      <c r="AE58" s="72"/>
      <c r="AF58" s="71">
        <v>272</v>
      </c>
      <c r="AG58" s="72">
        <v>3</v>
      </c>
      <c r="AH58" s="73">
        <f t="shared" si="1"/>
        <v>54784</v>
      </c>
      <c r="AI58" s="74">
        <f t="shared" si="1"/>
        <v>114</v>
      </c>
    </row>
    <row r="59" spans="1:35" ht="15" customHeight="1" x14ac:dyDescent="0.25">
      <c r="A59" s="70">
        <v>46186</v>
      </c>
      <c r="B59" s="71">
        <v>4364</v>
      </c>
      <c r="C59" s="72">
        <v>9</v>
      </c>
      <c r="D59" s="71">
        <v>2610</v>
      </c>
      <c r="E59" s="72">
        <v>3</v>
      </c>
      <c r="F59" s="71">
        <v>23707</v>
      </c>
      <c r="G59" s="72">
        <v>26</v>
      </c>
      <c r="H59" s="71"/>
      <c r="I59" s="72"/>
      <c r="J59" s="71"/>
      <c r="K59" s="72"/>
      <c r="L59" s="71">
        <v>51826</v>
      </c>
      <c r="M59" s="72">
        <v>97</v>
      </c>
      <c r="N59" s="71">
        <v>8424</v>
      </c>
      <c r="O59" s="72">
        <v>14</v>
      </c>
      <c r="P59" s="71">
        <v>27087</v>
      </c>
      <c r="Q59" s="72">
        <v>33</v>
      </c>
      <c r="R59" s="71">
        <v>3033</v>
      </c>
      <c r="S59" s="72">
        <v>4</v>
      </c>
      <c r="T59" s="71">
        <v>1008</v>
      </c>
      <c r="U59" s="72">
        <v>1</v>
      </c>
      <c r="V59" s="71">
        <v>40312</v>
      </c>
      <c r="W59" s="72">
        <v>52</v>
      </c>
      <c r="X59" s="71">
        <v>56994</v>
      </c>
      <c r="Y59" s="72">
        <v>75</v>
      </c>
      <c r="Z59" s="71">
        <v>1900</v>
      </c>
      <c r="AA59" s="72">
        <v>2</v>
      </c>
      <c r="AB59" s="71">
        <v>3740</v>
      </c>
      <c r="AC59" s="72">
        <v>2</v>
      </c>
      <c r="AD59" s="71"/>
      <c r="AE59" s="72"/>
      <c r="AF59" s="71">
        <v>263</v>
      </c>
      <c r="AG59" s="72">
        <v>3</v>
      </c>
      <c r="AH59" s="73">
        <f t="shared" si="1"/>
        <v>225268</v>
      </c>
      <c r="AI59" s="74">
        <f t="shared" si="1"/>
        <v>321</v>
      </c>
    </row>
    <row r="60" spans="1:35" ht="15" customHeight="1" x14ac:dyDescent="0.25">
      <c r="A60" s="70">
        <v>46187</v>
      </c>
      <c r="B60" s="71">
        <v>4216</v>
      </c>
      <c r="C60" s="72">
        <v>9</v>
      </c>
      <c r="D60" s="71">
        <v>1809</v>
      </c>
      <c r="E60" s="72">
        <v>2</v>
      </c>
      <c r="F60" s="71">
        <v>17797</v>
      </c>
      <c r="G60" s="72">
        <v>20</v>
      </c>
      <c r="H60" s="71">
        <v>1340</v>
      </c>
      <c r="I60" s="72">
        <v>4</v>
      </c>
      <c r="J60" s="71"/>
      <c r="K60" s="72"/>
      <c r="L60" s="71">
        <v>53604</v>
      </c>
      <c r="M60" s="72">
        <v>99</v>
      </c>
      <c r="N60" s="71">
        <v>7228</v>
      </c>
      <c r="O60" s="72">
        <v>14</v>
      </c>
      <c r="P60" s="71">
        <v>24604</v>
      </c>
      <c r="Q60" s="72">
        <v>31</v>
      </c>
      <c r="R60" s="71">
        <v>2221</v>
      </c>
      <c r="S60" s="72">
        <v>3</v>
      </c>
      <c r="T60" s="71">
        <v>976</v>
      </c>
      <c r="U60" s="72">
        <v>1</v>
      </c>
      <c r="V60" s="71">
        <v>30540</v>
      </c>
      <c r="W60" s="72">
        <v>42</v>
      </c>
      <c r="X60" s="71">
        <v>33312</v>
      </c>
      <c r="Y60" s="72">
        <v>45</v>
      </c>
      <c r="Z60" s="71">
        <v>2576</v>
      </c>
      <c r="AA60" s="72">
        <v>3</v>
      </c>
      <c r="AB60" s="71">
        <v>4144</v>
      </c>
      <c r="AC60" s="72">
        <v>18</v>
      </c>
      <c r="AD60" s="71"/>
      <c r="AE60" s="72"/>
      <c r="AF60" s="71">
        <v>266</v>
      </c>
      <c r="AG60" s="72">
        <v>3</v>
      </c>
      <c r="AH60" s="73">
        <f t="shared" si="1"/>
        <v>184633</v>
      </c>
      <c r="AI60" s="74">
        <f t="shared" si="1"/>
        <v>294</v>
      </c>
    </row>
    <row r="61" spans="1:35" ht="15" customHeight="1" x14ac:dyDescent="0.25">
      <c r="A61" s="70">
        <v>46188</v>
      </c>
      <c r="B61" s="71">
        <v>3180</v>
      </c>
      <c r="C61" s="72">
        <v>9</v>
      </c>
      <c r="D61" s="71">
        <v>1747</v>
      </c>
      <c r="E61" s="72">
        <v>2</v>
      </c>
      <c r="F61" s="71">
        <v>21516</v>
      </c>
      <c r="G61" s="72">
        <v>22</v>
      </c>
      <c r="H61" s="71">
        <v>1400</v>
      </c>
      <c r="I61" s="72">
        <v>4</v>
      </c>
      <c r="J61" s="71"/>
      <c r="K61" s="72"/>
      <c r="L61" s="71">
        <v>51912</v>
      </c>
      <c r="M61" s="72">
        <v>96</v>
      </c>
      <c r="N61" s="71">
        <v>8704</v>
      </c>
      <c r="O61" s="72">
        <v>14</v>
      </c>
      <c r="P61" s="71">
        <v>27192</v>
      </c>
      <c r="Q61" s="72">
        <v>33</v>
      </c>
      <c r="R61" s="71">
        <v>2553</v>
      </c>
      <c r="S61" s="72">
        <v>4</v>
      </c>
      <c r="T61" s="71">
        <v>0</v>
      </c>
      <c r="U61" s="72">
        <v>1</v>
      </c>
      <c r="V61" s="71">
        <v>28784</v>
      </c>
      <c r="W61" s="72">
        <v>39</v>
      </c>
      <c r="X61" s="71">
        <v>34577</v>
      </c>
      <c r="Y61" s="72">
        <v>46</v>
      </c>
      <c r="Z61" s="71">
        <v>1572</v>
      </c>
      <c r="AA61" s="72">
        <v>2</v>
      </c>
      <c r="AB61" s="71">
        <v>4442</v>
      </c>
      <c r="AC61" s="72">
        <v>18</v>
      </c>
      <c r="AD61" s="71">
        <v>52</v>
      </c>
      <c r="AE61" s="72">
        <v>1</v>
      </c>
      <c r="AF61" s="71">
        <v>223</v>
      </c>
      <c r="AG61" s="72">
        <v>3</v>
      </c>
      <c r="AH61" s="73">
        <f t="shared" si="1"/>
        <v>187854</v>
      </c>
      <c r="AI61" s="74">
        <f t="shared" si="1"/>
        <v>294</v>
      </c>
    </row>
    <row r="62" spans="1:35" ht="15" customHeight="1" x14ac:dyDescent="0.25">
      <c r="A62" s="70">
        <v>46189</v>
      </c>
      <c r="B62" s="71">
        <v>4832</v>
      </c>
      <c r="C62" s="72">
        <v>9</v>
      </c>
      <c r="D62" s="71">
        <v>1210</v>
      </c>
      <c r="E62" s="72">
        <v>2</v>
      </c>
      <c r="F62" s="71">
        <v>21996</v>
      </c>
      <c r="G62" s="72">
        <v>23</v>
      </c>
      <c r="H62" s="71">
        <v>1576</v>
      </c>
      <c r="I62" s="72">
        <v>5</v>
      </c>
      <c r="J62" s="71"/>
      <c r="K62" s="72"/>
      <c r="L62" s="71">
        <v>50332</v>
      </c>
      <c r="M62" s="72">
        <v>95</v>
      </c>
      <c r="N62" s="71">
        <v>6604</v>
      </c>
      <c r="O62" s="72">
        <v>14</v>
      </c>
      <c r="P62" s="71">
        <v>27057</v>
      </c>
      <c r="Q62" s="72">
        <v>32</v>
      </c>
      <c r="R62" s="71">
        <v>2385</v>
      </c>
      <c r="S62" s="72">
        <v>3</v>
      </c>
      <c r="T62" s="71">
        <v>0</v>
      </c>
      <c r="U62" s="72">
        <v>1</v>
      </c>
      <c r="V62" s="71">
        <v>29332</v>
      </c>
      <c r="W62" s="72">
        <v>38</v>
      </c>
      <c r="X62" s="71">
        <v>40067</v>
      </c>
      <c r="Y62" s="72">
        <v>51</v>
      </c>
      <c r="Z62" s="71">
        <v>2112</v>
      </c>
      <c r="AA62" s="72">
        <v>3</v>
      </c>
      <c r="AB62" s="71">
        <v>5364</v>
      </c>
      <c r="AC62" s="72">
        <v>18</v>
      </c>
      <c r="AD62" s="71"/>
      <c r="AE62" s="72"/>
      <c r="AF62" s="71">
        <v>273</v>
      </c>
      <c r="AG62" s="72">
        <v>3</v>
      </c>
      <c r="AH62" s="73">
        <f t="shared" si="1"/>
        <v>193140</v>
      </c>
      <c r="AI62" s="74">
        <f t="shared" si="1"/>
        <v>297</v>
      </c>
    </row>
    <row r="63" spans="1:35" ht="15" customHeight="1" x14ac:dyDescent="0.25">
      <c r="A63" s="70">
        <v>46190</v>
      </c>
      <c r="B63" s="71">
        <v>3664</v>
      </c>
      <c r="C63" s="72">
        <v>9</v>
      </c>
      <c r="D63" s="71">
        <v>1589</v>
      </c>
      <c r="E63" s="72">
        <v>2</v>
      </c>
      <c r="F63" s="71">
        <v>19947</v>
      </c>
      <c r="G63" s="72">
        <v>20</v>
      </c>
      <c r="H63" s="71">
        <v>2436</v>
      </c>
      <c r="I63" s="72">
        <v>11</v>
      </c>
      <c r="J63" s="71"/>
      <c r="K63" s="72"/>
      <c r="L63" s="71">
        <v>51962</v>
      </c>
      <c r="M63" s="72">
        <v>94</v>
      </c>
      <c r="N63" s="71">
        <v>7276</v>
      </c>
      <c r="O63" s="72">
        <v>14</v>
      </c>
      <c r="P63" s="71">
        <v>25157</v>
      </c>
      <c r="Q63" s="72">
        <v>33</v>
      </c>
      <c r="R63" s="71">
        <v>2451</v>
      </c>
      <c r="S63" s="72">
        <v>3</v>
      </c>
      <c r="T63" s="71">
        <v>176</v>
      </c>
      <c r="U63" s="72">
        <v>1</v>
      </c>
      <c r="V63" s="71">
        <v>25708</v>
      </c>
      <c r="W63" s="72">
        <v>36</v>
      </c>
      <c r="X63" s="71">
        <v>40286</v>
      </c>
      <c r="Y63" s="72">
        <v>52</v>
      </c>
      <c r="Z63" s="71">
        <v>1804</v>
      </c>
      <c r="AA63" s="72">
        <v>2</v>
      </c>
      <c r="AB63" s="71">
        <v>7190</v>
      </c>
      <c r="AC63" s="72">
        <v>25</v>
      </c>
      <c r="AD63" s="71"/>
      <c r="AE63" s="72"/>
      <c r="AF63" s="71">
        <v>246</v>
      </c>
      <c r="AG63" s="72">
        <v>3</v>
      </c>
      <c r="AH63" s="73">
        <f t="shared" si="1"/>
        <v>189892</v>
      </c>
      <c r="AI63" s="74">
        <f t="shared" si="1"/>
        <v>305</v>
      </c>
    </row>
    <row r="64" spans="1:35" ht="15" customHeight="1" x14ac:dyDescent="0.25">
      <c r="A64" s="70">
        <v>46191</v>
      </c>
      <c r="B64" s="71">
        <v>5536</v>
      </c>
      <c r="C64" s="72">
        <v>9</v>
      </c>
      <c r="D64" s="71">
        <v>3350</v>
      </c>
      <c r="E64" s="72">
        <v>3</v>
      </c>
      <c r="F64" s="71">
        <v>28776</v>
      </c>
      <c r="G64" s="72">
        <v>27</v>
      </c>
      <c r="H64" s="71">
        <v>2656</v>
      </c>
      <c r="I64" s="72">
        <v>11</v>
      </c>
      <c r="J64" s="71"/>
      <c r="K64" s="72"/>
      <c r="L64" s="71">
        <v>53938</v>
      </c>
      <c r="M64" s="72">
        <v>96</v>
      </c>
      <c r="N64" s="71">
        <v>8196</v>
      </c>
      <c r="O64" s="72">
        <v>14</v>
      </c>
      <c r="P64" s="71">
        <v>33767</v>
      </c>
      <c r="Q64" s="72">
        <v>42</v>
      </c>
      <c r="R64" s="71">
        <v>2725</v>
      </c>
      <c r="S64" s="72">
        <v>4</v>
      </c>
      <c r="T64" s="71">
        <v>12</v>
      </c>
      <c r="U64" s="72">
        <v>1</v>
      </c>
      <c r="V64" s="71">
        <v>34848</v>
      </c>
      <c r="W64" s="72">
        <v>45</v>
      </c>
      <c r="X64" s="71">
        <v>47310</v>
      </c>
      <c r="Y64" s="72">
        <v>60</v>
      </c>
      <c r="Z64" s="71">
        <v>3152</v>
      </c>
      <c r="AA64" s="72">
        <v>4</v>
      </c>
      <c r="AB64" s="71">
        <v>7506</v>
      </c>
      <c r="AC64" s="72">
        <v>18</v>
      </c>
      <c r="AD64" s="71"/>
      <c r="AE64" s="72"/>
      <c r="AF64" s="71">
        <v>286</v>
      </c>
      <c r="AG64" s="72">
        <v>3</v>
      </c>
      <c r="AH64" s="73">
        <f t="shared" si="1"/>
        <v>232058</v>
      </c>
      <c r="AI64" s="74">
        <f t="shared" si="1"/>
        <v>337</v>
      </c>
    </row>
    <row r="65" spans="1:35" ht="15" customHeight="1" x14ac:dyDescent="0.25">
      <c r="A65" s="70">
        <v>46192</v>
      </c>
      <c r="B65" s="71"/>
      <c r="C65" s="72"/>
      <c r="D65" s="71"/>
      <c r="E65" s="72"/>
      <c r="F65" s="71"/>
      <c r="G65" s="72"/>
      <c r="H65" s="71">
        <v>2672</v>
      </c>
      <c r="I65" s="72">
        <v>8</v>
      </c>
      <c r="J65" s="71"/>
      <c r="K65" s="72"/>
      <c r="L65" s="71">
        <v>47310</v>
      </c>
      <c r="M65" s="72">
        <v>90</v>
      </c>
      <c r="N65" s="71"/>
      <c r="O65" s="72"/>
      <c r="P65" s="71"/>
      <c r="Q65" s="72"/>
      <c r="R65" s="71"/>
      <c r="S65" s="72"/>
      <c r="T65" s="71"/>
      <c r="U65" s="72"/>
      <c r="V65" s="71"/>
      <c r="W65" s="72"/>
      <c r="X65" s="71"/>
      <c r="Y65" s="72"/>
      <c r="Z65" s="71"/>
      <c r="AA65" s="72"/>
      <c r="AB65" s="71">
        <v>7968</v>
      </c>
      <c r="AC65" s="72">
        <v>17</v>
      </c>
      <c r="AD65" s="71"/>
      <c r="AE65" s="72"/>
      <c r="AF65" s="71">
        <v>311</v>
      </c>
      <c r="AG65" s="72">
        <v>3</v>
      </c>
      <c r="AH65" s="73">
        <f t="shared" si="1"/>
        <v>58261</v>
      </c>
      <c r="AI65" s="74">
        <f t="shared" si="1"/>
        <v>118</v>
      </c>
    </row>
    <row r="66" spans="1:35" ht="15" customHeight="1" x14ac:dyDescent="0.25">
      <c r="A66" s="70">
        <v>46193</v>
      </c>
      <c r="B66" s="71">
        <v>5232</v>
      </c>
      <c r="C66" s="72">
        <v>9</v>
      </c>
      <c r="D66" s="71">
        <v>2568</v>
      </c>
      <c r="E66" s="72">
        <v>3</v>
      </c>
      <c r="F66" s="71">
        <v>28264</v>
      </c>
      <c r="G66" s="72">
        <v>29</v>
      </c>
      <c r="H66" s="71"/>
      <c r="I66" s="72"/>
      <c r="J66" s="71"/>
      <c r="K66" s="72"/>
      <c r="L66" s="71">
        <v>55632</v>
      </c>
      <c r="M66" s="72">
        <v>100</v>
      </c>
      <c r="N66" s="71">
        <v>8864</v>
      </c>
      <c r="O66" s="72">
        <v>14</v>
      </c>
      <c r="P66" s="71">
        <v>33563</v>
      </c>
      <c r="Q66" s="72">
        <v>41</v>
      </c>
      <c r="R66" s="71">
        <v>3068</v>
      </c>
      <c r="S66" s="72">
        <v>4</v>
      </c>
      <c r="T66" s="71">
        <v>1212</v>
      </c>
      <c r="U66" s="72">
        <v>1</v>
      </c>
      <c r="V66" s="71">
        <v>45308</v>
      </c>
      <c r="W66" s="72">
        <v>57</v>
      </c>
      <c r="X66" s="71">
        <v>59387</v>
      </c>
      <c r="Y66" s="72">
        <v>84</v>
      </c>
      <c r="Z66" s="71">
        <v>1820</v>
      </c>
      <c r="AA66" s="72">
        <v>2</v>
      </c>
      <c r="AB66" s="71">
        <v>3692</v>
      </c>
      <c r="AC66" s="72">
        <v>20</v>
      </c>
      <c r="AD66" s="71"/>
      <c r="AE66" s="72"/>
      <c r="AF66" s="71">
        <v>306</v>
      </c>
      <c r="AG66" s="72">
        <v>3</v>
      </c>
      <c r="AH66" s="73">
        <f t="shared" si="1"/>
        <v>248916</v>
      </c>
      <c r="AI66" s="74">
        <f t="shared" si="1"/>
        <v>367</v>
      </c>
    </row>
    <row r="67" spans="1:35" ht="15" customHeight="1" x14ac:dyDescent="0.25">
      <c r="A67" s="70">
        <v>46194</v>
      </c>
      <c r="B67" s="71">
        <v>3944</v>
      </c>
      <c r="C67" s="72">
        <v>9</v>
      </c>
      <c r="D67" s="71">
        <v>1658</v>
      </c>
      <c r="E67" s="72">
        <v>2</v>
      </c>
      <c r="F67" s="71">
        <v>21681</v>
      </c>
      <c r="G67" s="72">
        <v>23</v>
      </c>
      <c r="H67" s="71">
        <v>1532</v>
      </c>
      <c r="I67" s="72">
        <v>5</v>
      </c>
      <c r="J67" s="71"/>
      <c r="K67" s="72"/>
      <c r="L67" s="71">
        <v>54986</v>
      </c>
      <c r="M67" s="72">
        <v>100</v>
      </c>
      <c r="N67" s="71">
        <v>7816</v>
      </c>
      <c r="O67" s="72">
        <v>14</v>
      </c>
      <c r="P67" s="71">
        <v>30027</v>
      </c>
      <c r="Q67" s="72">
        <v>38</v>
      </c>
      <c r="R67" s="71">
        <v>2395</v>
      </c>
      <c r="S67" s="72">
        <v>4</v>
      </c>
      <c r="T67" s="71">
        <v>924</v>
      </c>
      <c r="U67" s="72">
        <v>1</v>
      </c>
      <c r="V67" s="71">
        <v>36008</v>
      </c>
      <c r="W67" s="72">
        <v>44</v>
      </c>
      <c r="X67" s="71">
        <v>36598</v>
      </c>
      <c r="Y67" s="72">
        <v>49</v>
      </c>
      <c r="Z67" s="71">
        <v>2776</v>
      </c>
      <c r="AA67" s="72">
        <v>3</v>
      </c>
      <c r="AB67" s="71">
        <v>7700</v>
      </c>
      <c r="AC67" s="72">
        <v>23</v>
      </c>
      <c r="AD67" s="71"/>
      <c r="AE67" s="72"/>
      <c r="AF67" s="71">
        <v>312</v>
      </c>
      <c r="AG67" s="72">
        <v>3</v>
      </c>
      <c r="AH67" s="73">
        <f t="shared" ref="AH67:AI97" si="2">B67+D67+F67+H67+J67+L67+N67+P67+R67+T67+V67+X67+Z67+AB67+AD67+AF67</f>
        <v>208357</v>
      </c>
      <c r="AI67" s="74">
        <f t="shared" si="2"/>
        <v>318</v>
      </c>
    </row>
    <row r="68" spans="1:35" ht="15" customHeight="1" x14ac:dyDescent="0.25">
      <c r="A68" s="70">
        <v>46195</v>
      </c>
      <c r="B68" s="71">
        <v>3616</v>
      </c>
      <c r="C68" s="72">
        <v>9</v>
      </c>
      <c r="D68" s="71">
        <v>1878</v>
      </c>
      <c r="E68" s="72">
        <v>2</v>
      </c>
      <c r="F68" s="71">
        <v>22035</v>
      </c>
      <c r="G68" s="72">
        <v>23</v>
      </c>
      <c r="H68" s="71">
        <v>1592</v>
      </c>
      <c r="I68" s="72">
        <v>5</v>
      </c>
      <c r="J68" s="71"/>
      <c r="K68" s="72"/>
      <c r="L68" s="71">
        <v>54110</v>
      </c>
      <c r="M68" s="72">
        <v>97</v>
      </c>
      <c r="N68" s="71">
        <v>9928</v>
      </c>
      <c r="O68" s="72">
        <v>14</v>
      </c>
      <c r="P68" s="71">
        <v>27991</v>
      </c>
      <c r="Q68" s="72">
        <v>44</v>
      </c>
      <c r="R68" s="71">
        <v>2657</v>
      </c>
      <c r="S68" s="72">
        <v>4</v>
      </c>
      <c r="T68" s="71">
        <v>552</v>
      </c>
      <c r="U68" s="72">
        <v>1</v>
      </c>
      <c r="V68" s="71">
        <v>35080</v>
      </c>
      <c r="W68" s="72">
        <v>44</v>
      </c>
      <c r="X68" s="71">
        <v>35861</v>
      </c>
      <c r="Y68" s="72">
        <v>49</v>
      </c>
      <c r="Z68" s="71">
        <v>1592</v>
      </c>
      <c r="AA68" s="72">
        <v>2</v>
      </c>
      <c r="AB68" s="71">
        <v>7042</v>
      </c>
      <c r="AC68" s="72">
        <v>23</v>
      </c>
      <c r="AD68" s="71">
        <v>62</v>
      </c>
      <c r="AE68" s="72">
        <v>1</v>
      </c>
      <c r="AF68" s="71">
        <v>284</v>
      </c>
      <c r="AG68" s="72">
        <v>3</v>
      </c>
      <c r="AH68" s="73">
        <f t="shared" si="2"/>
        <v>204280</v>
      </c>
      <c r="AI68" s="74">
        <f t="shared" si="2"/>
        <v>321</v>
      </c>
    </row>
    <row r="69" spans="1:35" ht="15" customHeight="1" x14ac:dyDescent="0.25">
      <c r="A69" s="70">
        <v>46196</v>
      </c>
      <c r="B69" s="71">
        <v>4596</v>
      </c>
      <c r="C69" s="72">
        <v>9</v>
      </c>
      <c r="D69" s="71">
        <v>1529</v>
      </c>
      <c r="E69" s="72">
        <v>2</v>
      </c>
      <c r="F69" s="71">
        <v>23109</v>
      </c>
      <c r="G69" s="72">
        <v>23</v>
      </c>
      <c r="H69" s="71">
        <v>1812</v>
      </c>
      <c r="I69" s="72">
        <v>5</v>
      </c>
      <c r="J69" s="71"/>
      <c r="K69" s="72"/>
      <c r="L69" s="71">
        <v>52226</v>
      </c>
      <c r="M69" s="72">
        <v>96</v>
      </c>
      <c r="N69" s="71">
        <v>7212</v>
      </c>
      <c r="O69" s="72">
        <v>14</v>
      </c>
      <c r="P69" s="71">
        <v>27422</v>
      </c>
      <c r="Q69" s="72">
        <v>35</v>
      </c>
      <c r="R69" s="71">
        <v>2359</v>
      </c>
      <c r="S69" s="72">
        <v>3</v>
      </c>
      <c r="T69" s="71">
        <v>592</v>
      </c>
      <c r="U69" s="72">
        <v>1</v>
      </c>
      <c r="V69" s="71">
        <v>33732</v>
      </c>
      <c r="W69" s="72">
        <v>42</v>
      </c>
      <c r="X69" s="71">
        <v>40384</v>
      </c>
      <c r="Y69" s="72">
        <v>53</v>
      </c>
      <c r="Z69" s="71">
        <v>2660</v>
      </c>
      <c r="AA69" s="72">
        <v>3</v>
      </c>
      <c r="AB69" s="71">
        <v>7374</v>
      </c>
      <c r="AC69" s="72">
        <v>23</v>
      </c>
      <c r="AD69" s="71"/>
      <c r="AE69" s="72"/>
      <c r="AF69" s="71">
        <v>265</v>
      </c>
      <c r="AG69" s="72">
        <v>3</v>
      </c>
      <c r="AH69" s="73">
        <f t="shared" si="2"/>
        <v>205272</v>
      </c>
      <c r="AI69" s="74">
        <f t="shared" si="2"/>
        <v>312</v>
      </c>
    </row>
    <row r="70" spans="1:35" ht="15" customHeight="1" x14ac:dyDescent="0.25">
      <c r="A70" s="70">
        <v>46197</v>
      </c>
      <c r="B70" s="71">
        <v>4416</v>
      </c>
      <c r="C70" s="72">
        <v>9</v>
      </c>
      <c r="D70" s="71">
        <v>2391</v>
      </c>
      <c r="E70" s="72">
        <v>2</v>
      </c>
      <c r="F70" s="71">
        <v>21670</v>
      </c>
      <c r="G70" s="72">
        <v>22</v>
      </c>
      <c r="H70" s="71">
        <v>2620</v>
      </c>
      <c r="I70" s="72">
        <v>11</v>
      </c>
      <c r="J70" s="71"/>
      <c r="K70" s="72"/>
      <c r="L70" s="71">
        <v>55804</v>
      </c>
      <c r="M70" s="72">
        <v>97</v>
      </c>
      <c r="N70" s="71">
        <v>8100</v>
      </c>
      <c r="O70" s="72">
        <v>14</v>
      </c>
      <c r="P70" s="71">
        <v>26750</v>
      </c>
      <c r="Q70" s="72">
        <v>35</v>
      </c>
      <c r="R70" s="71">
        <v>2756</v>
      </c>
      <c r="S70" s="72">
        <v>4</v>
      </c>
      <c r="T70" s="71">
        <v>436</v>
      </c>
      <c r="U70" s="72">
        <v>1</v>
      </c>
      <c r="V70" s="71">
        <v>24500</v>
      </c>
      <c r="W70" s="72">
        <v>35</v>
      </c>
      <c r="X70" s="71">
        <v>36624</v>
      </c>
      <c r="Y70" s="72">
        <v>46</v>
      </c>
      <c r="Z70" s="71">
        <v>2104</v>
      </c>
      <c r="AA70" s="72">
        <v>3</v>
      </c>
      <c r="AB70" s="71">
        <v>7532</v>
      </c>
      <c r="AC70" s="72">
        <v>25</v>
      </c>
      <c r="AD70" s="71"/>
      <c r="AE70" s="72"/>
      <c r="AF70" s="71">
        <v>273</v>
      </c>
      <c r="AG70" s="72">
        <v>3</v>
      </c>
      <c r="AH70" s="73">
        <f t="shared" si="2"/>
        <v>195976</v>
      </c>
      <c r="AI70" s="74">
        <f t="shared" si="2"/>
        <v>307</v>
      </c>
    </row>
    <row r="71" spans="1:35" ht="15" customHeight="1" x14ac:dyDescent="0.25">
      <c r="A71" s="70">
        <v>46198</v>
      </c>
      <c r="B71" s="71">
        <v>5908</v>
      </c>
      <c r="C71" s="72">
        <v>9</v>
      </c>
      <c r="D71" s="71">
        <v>2440</v>
      </c>
      <c r="E71" s="72">
        <v>4</v>
      </c>
      <c r="F71" s="71">
        <v>29598</v>
      </c>
      <c r="G71" s="72">
        <v>28</v>
      </c>
      <c r="H71" s="71">
        <v>2880</v>
      </c>
      <c r="I71" s="72">
        <v>12</v>
      </c>
      <c r="J71" s="71"/>
      <c r="K71" s="72"/>
      <c r="L71" s="71">
        <v>57902</v>
      </c>
      <c r="M71" s="72">
        <v>83</v>
      </c>
      <c r="N71" s="71">
        <v>8912</v>
      </c>
      <c r="O71" s="72">
        <v>14</v>
      </c>
      <c r="P71" s="71">
        <v>37210</v>
      </c>
      <c r="Q71" s="72">
        <v>44</v>
      </c>
      <c r="R71" s="71">
        <v>3015</v>
      </c>
      <c r="S71" s="72">
        <v>3</v>
      </c>
      <c r="T71" s="71">
        <v>16</v>
      </c>
      <c r="U71" s="72">
        <v>1</v>
      </c>
      <c r="V71" s="71">
        <v>37616</v>
      </c>
      <c r="W71" s="72">
        <v>45</v>
      </c>
      <c r="X71" s="71">
        <v>48076</v>
      </c>
      <c r="Y71" s="72">
        <v>61</v>
      </c>
      <c r="Z71" s="71">
        <v>3208</v>
      </c>
      <c r="AA71" s="72">
        <v>5</v>
      </c>
      <c r="AB71" s="71">
        <v>7172</v>
      </c>
      <c r="AC71" s="72">
        <v>24</v>
      </c>
      <c r="AD71" s="71"/>
      <c r="AE71" s="72"/>
      <c r="AF71" s="71">
        <v>310</v>
      </c>
      <c r="AG71" s="72">
        <v>3</v>
      </c>
      <c r="AH71" s="73">
        <f t="shared" si="2"/>
        <v>244263</v>
      </c>
      <c r="AI71" s="74">
        <f t="shared" si="2"/>
        <v>336</v>
      </c>
    </row>
    <row r="72" spans="1:35" ht="15" customHeight="1" x14ac:dyDescent="0.25">
      <c r="A72" s="70">
        <v>46199</v>
      </c>
      <c r="B72" s="71"/>
      <c r="C72" s="72"/>
      <c r="D72" s="71"/>
      <c r="E72" s="72"/>
      <c r="F72" s="71"/>
      <c r="G72" s="72"/>
      <c r="H72" s="71">
        <v>2424</v>
      </c>
      <c r="I72" s="72">
        <v>7</v>
      </c>
      <c r="J72" s="71"/>
      <c r="K72" s="72"/>
      <c r="L72" s="71">
        <v>46422</v>
      </c>
      <c r="M72" s="72">
        <v>89</v>
      </c>
      <c r="N72" s="71"/>
      <c r="O72" s="72"/>
      <c r="P72" s="71"/>
      <c r="Q72" s="72"/>
      <c r="R72" s="71"/>
      <c r="S72" s="72"/>
      <c r="T72" s="71"/>
      <c r="U72" s="72"/>
      <c r="V72" s="71"/>
      <c r="W72" s="72"/>
      <c r="X72" s="71"/>
      <c r="Y72" s="72"/>
      <c r="Z72" s="71"/>
      <c r="AA72" s="72"/>
      <c r="AB72" s="71">
        <v>8130</v>
      </c>
      <c r="AC72" s="72">
        <v>16</v>
      </c>
      <c r="AD72" s="71"/>
      <c r="AE72" s="72"/>
      <c r="AF72" s="71">
        <v>309</v>
      </c>
      <c r="AG72" s="72">
        <v>3</v>
      </c>
      <c r="AH72" s="73">
        <f t="shared" si="2"/>
        <v>57285</v>
      </c>
      <c r="AI72" s="74">
        <f t="shared" si="2"/>
        <v>115</v>
      </c>
    </row>
    <row r="73" spans="1:35" ht="15" customHeight="1" x14ac:dyDescent="0.25">
      <c r="A73" s="70">
        <v>46200</v>
      </c>
      <c r="B73" s="71">
        <v>5000</v>
      </c>
      <c r="C73" s="72">
        <v>9</v>
      </c>
      <c r="D73" s="71">
        <v>3033</v>
      </c>
      <c r="E73" s="72">
        <v>3</v>
      </c>
      <c r="F73" s="71">
        <v>28573</v>
      </c>
      <c r="G73" s="72">
        <v>29</v>
      </c>
      <c r="H73" s="71"/>
      <c r="I73" s="72"/>
      <c r="J73" s="71"/>
      <c r="K73" s="72"/>
      <c r="L73" s="71">
        <v>56596</v>
      </c>
      <c r="M73" s="72">
        <v>102</v>
      </c>
      <c r="N73" s="71">
        <v>8912</v>
      </c>
      <c r="O73" s="72">
        <v>14</v>
      </c>
      <c r="P73" s="71">
        <v>30551</v>
      </c>
      <c r="Q73" s="72">
        <v>39</v>
      </c>
      <c r="R73" s="71">
        <v>3246</v>
      </c>
      <c r="S73" s="72">
        <v>4</v>
      </c>
      <c r="T73" s="71">
        <v>1016</v>
      </c>
      <c r="U73" s="72">
        <v>1</v>
      </c>
      <c r="V73" s="71">
        <v>41444</v>
      </c>
      <c r="W73" s="72">
        <v>52</v>
      </c>
      <c r="X73" s="71">
        <v>59111</v>
      </c>
      <c r="Y73" s="72">
        <v>82</v>
      </c>
      <c r="Z73" s="71">
        <v>2260</v>
      </c>
      <c r="AA73" s="72">
        <v>3</v>
      </c>
      <c r="AB73" s="71">
        <v>4664</v>
      </c>
      <c r="AC73" s="72">
        <v>18</v>
      </c>
      <c r="AD73" s="71"/>
      <c r="AE73" s="72"/>
      <c r="AF73" s="71">
        <v>288</v>
      </c>
      <c r="AG73" s="72">
        <v>3</v>
      </c>
      <c r="AH73" s="73">
        <f t="shared" si="2"/>
        <v>244694</v>
      </c>
      <c r="AI73" s="74">
        <f t="shared" si="2"/>
        <v>359</v>
      </c>
    </row>
    <row r="74" spans="1:35" ht="15" customHeight="1" x14ac:dyDescent="0.25">
      <c r="A74" s="70">
        <v>46201</v>
      </c>
      <c r="B74" s="71">
        <v>4476</v>
      </c>
      <c r="C74" s="72">
        <v>9</v>
      </c>
      <c r="D74" s="71">
        <v>1864</v>
      </c>
      <c r="E74" s="72">
        <v>2</v>
      </c>
      <c r="F74" s="71">
        <v>21090</v>
      </c>
      <c r="G74" s="72">
        <v>22</v>
      </c>
      <c r="H74" s="71">
        <v>1428</v>
      </c>
      <c r="I74" s="72">
        <v>5</v>
      </c>
      <c r="J74" s="71"/>
      <c r="K74" s="72"/>
      <c r="L74" s="71">
        <v>55934</v>
      </c>
      <c r="M74" s="72">
        <v>99</v>
      </c>
      <c r="N74" s="71">
        <v>7140</v>
      </c>
      <c r="O74" s="72">
        <v>14</v>
      </c>
      <c r="P74" s="71">
        <v>27616</v>
      </c>
      <c r="Q74" s="72">
        <v>36</v>
      </c>
      <c r="R74" s="71">
        <v>2449</v>
      </c>
      <c r="S74" s="72">
        <v>3</v>
      </c>
      <c r="T74" s="71">
        <v>876</v>
      </c>
      <c r="U74" s="72">
        <v>1</v>
      </c>
      <c r="V74" s="71">
        <v>33388</v>
      </c>
      <c r="W74" s="72">
        <v>44</v>
      </c>
      <c r="X74" s="71">
        <v>33814</v>
      </c>
      <c r="Y74" s="72">
        <v>45</v>
      </c>
      <c r="Z74" s="71">
        <v>2764</v>
      </c>
      <c r="AA74" s="72">
        <v>4</v>
      </c>
      <c r="AB74" s="71">
        <v>8558</v>
      </c>
      <c r="AC74" s="72">
        <v>26</v>
      </c>
      <c r="AD74" s="71"/>
      <c r="AE74" s="72"/>
      <c r="AF74" s="71">
        <v>325</v>
      </c>
      <c r="AG74" s="72">
        <v>3</v>
      </c>
      <c r="AH74" s="73">
        <f t="shared" si="2"/>
        <v>201722</v>
      </c>
      <c r="AI74" s="74">
        <f t="shared" si="2"/>
        <v>313</v>
      </c>
    </row>
    <row r="75" spans="1:35" ht="15" customHeight="1" x14ac:dyDescent="0.25">
      <c r="A75" s="70">
        <v>46202</v>
      </c>
      <c r="B75" s="71">
        <v>3768</v>
      </c>
      <c r="C75" s="72">
        <v>9</v>
      </c>
      <c r="D75" s="71">
        <v>1705</v>
      </c>
      <c r="E75" s="72">
        <v>2</v>
      </c>
      <c r="F75" s="71">
        <v>21893</v>
      </c>
      <c r="G75" s="72">
        <v>22</v>
      </c>
      <c r="H75" s="71">
        <v>1612</v>
      </c>
      <c r="I75" s="72">
        <v>5</v>
      </c>
      <c r="J75" s="71"/>
      <c r="K75" s="72"/>
      <c r="L75" s="71">
        <v>55088</v>
      </c>
      <c r="M75" s="72">
        <v>99</v>
      </c>
      <c r="N75" s="71">
        <v>8912</v>
      </c>
      <c r="O75" s="72">
        <v>14</v>
      </c>
      <c r="P75" s="71">
        <v>27322</v>
      </c>
      <c r="Q75" s="72">
        <v>35</v>
      </c>
      <c r="R75" s="71">
        <v>2781</v>
      </c>
      <c r="S75" s="72">
        <v>4</v>
      </c>
      <c r="T75" s="71">
        <v>0</v>
      </c>
      <c r="U75" s="72">
        <v>1</v>
      </c>
      <c r="V75" s="71">
        <v>31132</v>
      </c>
      <c r="W75" s="72">
        <v>42</v>
      </c>
      <c r="X75" s="71">
        <v>34967</v>
      </c>
      <c r="Y75" s="72">
        <v>46</v>
      </c>
      <c r="Z75" s="71">
        <v>2292</v>
      </c>
      <c r="AA75" s="72">
        <v>3</v>
      </c>
      <c r="AB75" s="71">
        <v>6484</v>
      </c>
      <c r="AC75" s="72">
        <v>20</v>
      </c>
      <c r="AD75" s="71">
        <v>62</v>
      </c>
      <c r="AE75" s="72">
        <v>1</v>
      </c>
      <c r="AF75" s="71">
        <v>347</v>
      </c>
      <c r="AG75" s="72">
        <v>3</v>
      </c>
      <c r="AH75" s="73">
        <f t="shared" si="2"/>
        <v>198365</v>
      </c>
      <c r="AI75" s="74">
        <f t="shared" si="2"/>
        <v>306</v>
      </c>
    </row>
    <row r="76" spans="1:35" ht="15" customHeight="1" x14ac:dyDescent="0.25">
      <c r="A76" s="70">
        <v>46203</v>
      </c>
      <c r="B76" s="71">
        <v>4252</v>
      </c>
      <c r="C76" s="72">
        <v>9</v>
      </c>
      <c r="D76" s="71">
        <v>1625</v>
      </c>
      <c r="E76" s="72">
        <v>2</v>
      </c>
      <c r="F76" s="71">
        <v>22883</v>
      </c>
      <c r="G76" s="72">
        <v>23</v>
      </c>
      <c r="H76" s="71">
        <v>1844</v>
      </c>
      <c r="I76" s="72">
        <v>5</v>
      </c>
      <c r="J76" s="71"/>
      <c r="K76" s="72"/>
      <c r="L76" s="71">
        <v>53632</v>
      </c>
      <c r="M76" s="72">
        <v>98</v>
      </c>
      <c r="N76" s="71">
        <v>6920</v>
      </c>
      <c r="O76" s="72">
        <v>14</v>
      </c>
      <c r="P76" s="71">
        <v>28369</v>
      </c>
      <c r="Q76" s="72">
        <v>35</v>
      </c>
      <c r="R76" s="71">
        <v>2416</v>
      </c>
      <c r="S76" s="72">
        <v>3</v>
      </c>
      <c r="T76" s="71">
        <v>268</v>
      </c>
      <c r="U76" s="72">
        <v>1</v>
      </c>
      <c r="V76" s="71">
        <v>30720</v>
      </c>
      <c r="W76" s="72">
        <v>42</v>
      </c>
      <c r="X76" s="71">
        <v>39957</v>
      </c>
      <c r="Y76" s="72">
        <v>52</v>
      </c>
      <c r="Z76" s="71">
        <v>3172</v>
      </c>
      <c r="AA76" s="72">
        <v>4</v>
      </c>
      <c r="AB76" s="71">
        <v>7622</v>
      </c>
      <c r="AC76" s="72">
        <v>25</v>
      </c>
      <c r="AD76" s="71"/>
      <c r="AE76" s="72"/>
      <c r="AF76" s="71">
        <v>403</v>
      </c>
      <c r="AG76" s="72">
        <v>3</v>
      </c>
      <c r="AH76" s="73">
        <f t="shared" si="2"/>
        <v>204083</v>
      </c>
      <c r="AI76" s="74">
        <f t="shared" si="2"/>
        <v>316</v>
      </c>
    </row>
    <row r="77" spans="1:35" ht="15" customHeight="1" x14ac:dyDescent="0.25">
      <c r="A77" s="70">
        <v>46204</v>
      </c>
      <c r="B77" s="71">
        <v>4044</v>
      </c>
      <c r="C77" s="72">
        <v>9</v>
      </c>
      <c r="D77" s="71">
        <v>2242</v>
      </c>
      <c r="E77" s="72">
        <v>2</v>
      </c>
      <c r="F77" s="71">
        <v>20730</v>
      </c>
      <c r="G77" s="72">
        <v>20</v>
      </c>
      <c r="H77" s="71">
        <v>2544</v>
      </c>
      <c r="I77" s="72">
        <v>11</v>
      </c>
      <c r="J77" s="71"/>
      <c r="K77" s="72"/>
      <c r="L77" s="71">
        <v>61100</v>
      </c>
      <c r="M77" s="72">
        <v>111</v>
      </c>
      <c r="N77" s="71">
        <v>7600</v>
      </c>
      <c r="O77" s="72">
        <v>14</v>
      </c>
      <c r="P77" s="71">
        <v>24277</v>
      </c>
      <c r="Q77" s="72">
        <v>32</v>
      </c>
      <c r="R77" s="71">
        <v>2969</v>
      </c>
      <c r="S77" s="72">
        <v>4</v>
      </c>
      <c r="T77" s="71">
        <v>152</v>
      </c>
      <c r="U77" s="72">
        <v>1</v>
      </c>
      <c r="V77" s="71">
        <v>25172</v>
      </c>
      <c r="W77" s="72">
        <v>35</v>
      </c>
      <c r="X77" s="71">
        <v>40345</v>
      </c>
      <c r="Y77" s="72">
        <v>51</v>
      </c>
      <c r="Z77" s="71">
        <v>2464</v>
      </c>
      <c r="AA77" s="72">
        <v>3</v>
      </c>
      <c r="AB77" s="71">
        <v>7876</v>
      </c>
      <c r="AC77" s="72">
        <v>24</v>
      </c>
      <c r="AD77" s="71"/>
      <c r="AE77" s="72"/>
      <c r="AF77" s="71">
        <v>395</v>
      </c>
      <c r="AG77" s="72">
        <v>3</v>
      </c>
      <c r="AH77" s="73">
        <f t="shared" si="2"/>
        <v>201910</v>
      </c>
      <c r="AI77" s="74">
        <f t="shared" si="2"/>
        <v>320</v>
      </c>
    </row>
    <row r="78" spans="1:35" ht="15" customHeight="1" x14ac:dyDescent="0.25">
      <c r="A78" s="70">
        <v>46205</v>
      </c>
      <c r="B78" s="71">
        <v>5700</v>
      </c>
      <c r="C78" s="72">
        <v>9</v>
      </c>
      <c r="D78" s="71">
        <v>2769</v>
      </c>
      <c r="E78" s="72">
        <v>3</v>
      </c>
      <c r="F78" s="71">
        <v>28819</v>
      </c>
      <c r="G78" s="72">
        <v>27</v>
      </c>
      <c r="H78" s="71">
        <v>2840</v>
      </c>
      <c r="I78" s="72">
        <v>11</v>
      </c>
      <c r="J78" s="71"/>
      <c r="K78" s="72"/>
      <c r="L78" s="71">
        <v>58022</v>
      </c>
      <c r="M78" s="72">
        <v>103</v>
      </c>
      <c r="N78" s="71">
        <v>9256</v>
      </c>
      <c r="O78" s="72">
        <v>14</v>
      </c>
      <c r="P78" s="71">
        <v>36161</v>
      </c>
      <c r="Q78" s="72">
        <v>47</v>
      </c>
      <c r="R78" s="71">
        <v>3156</v>
      </c>
      <c r="S78" s="72">
        <v>4</v>
      </c>
      <c r="T78" s="71">
        <v>52</v>
      </c>
      <c r="U78" s="72">
        <v>1</v>
      </c>
      <c r="V78" s="71">
        <v>37960</v>
      </c>
      <c r="W78" s="72">
        <v>50</v>
      </c>
      <c r="X78" s="71">
        <v>47460</v>
      </c>
      <c r="Y78" s="72">
        <v>62</v>
      </c>
      <c r="Z78" s="71">
        <v>3816</v>
      </c>
      <c r="AA78" s="72">
        <v>5</v>
      </c>
      <c r="AB78" s="71">
        <v>7378</v>
      </c>
      <c r="AC78" s="72">
        <v>18</v>
      </c>
      <c r="AD78" s="71"/>
      <c r="AE78" s="72"/>
      <c r="AF78" s="71">
        <v>462</v>
      </c>
      <c r="AG78" s="72">
        <v>3</v>
      </c>
      <c r="AH78" s="73">
        <f t="shared" si="2"/>
        <v>243851</v>
      </c>
      <c r="AI78" s="74">
        <f t="shared" si="2"/>
        <v>357</v>
      </c>
    </row>
    <row r="79" spans="1:35" ht="15" customHeight="1" x14ac:dyDescent="0.25">
      <c r="A79" s="70">
        <v>46206</v>
      </c>
      <c r="B79" s="71"/>
      <c r="C79" s="72"/>
      <c r="D79" s="71"/>
      <c r="E79" s="72"/>
      <c r="F79" s="71"/>
      <c r="G79" s="72"/>
      <c r="H79" s="71">
        <v>2828</v>
      </c>
      <c r="I79" s="72">
        <v>8</v>
      </c>
      <c r="J79" s="71"/>
      <c r="K79" s="72"/>
      <c r="L79" s="71">
        <v>44574</v>
      </c>
      <c r="M79" s="72">
        <v>83</v>
      </c>
      <c r="N79" s="71"/>
      <c r="O79" s="72"/>
      <c r="P79" s="71"/>
      <c r="Q79" s="72"/>
      <c r="R79" s="71"/>
      <c r="S79" s="72"/>
      <c r="T79" s="71"/>
      <c r="U79" s="72"/>
      <c r="V79" s="71"/>
      <c r="W79" s="72"/>
      <c r="X79" s="71"/>
      <c r="Y79" s="72"/>
      <c r="Z79" s="71"/>
      <c r="AA79" s="72"/>
      <c r="AB79" s="71">
        <v>7958</v>
      </c>
      <c r="AC79" s="72">
        <v>16</v>
      </c>
      <c r="AD79" s="71"/>
      <c r="AE79" s="72"/>
      <c r="AF79" s="71">
        <v>346</v>
      </c>
      <c r="AG79" s="72">
        <v>3</v>
      </c>
      <c r="AH79" s="73">
        <f t="shared" si="2"/>
        <v>55706</v>
      </c>
      <c r="AI79" s="74">
        <f t="shared" si="2"/>
        <v>110</v>
      </c>
    </row>
    <row r="80" spans="1:35" ht="15" customHeight="1" x14ac:dyDescent="0.25">
      <c r="A80" s="70">
        <v>46207</v>
      </c>
      <c r="B80" s="71">
        <v>6448</v>
      </c>
      <c r="C80" s="72">
        <v>10</v>
      </c>
      <c r="D80" s="71">
        <v>2747</v>
      </c>
      <c r="E80" s="72">
        <v>3</v>
      </c>
      <c r="F80" s="71">
        <v>31268</v>
      </c>
      <c r="G80" s="72">
        <v>32</v>
      </c>
      <c r="H80" s="71"/>
      <c r="I80" s="72"/>
      <c r="J80" s="71"/>
      <c r="K80" s="72"/>
      <c r="L80" s="71">
        <v>58178</v>
      </c>
      <c r="M80" s="72">
        <v>102</v>
      </c>
      <c r="N80" s="71">
        <v>9988</v>
      </c>
      <c r="O80" s="72">
        <v>15</v>
      </c>
      <c r="P80" s="71">
        <v>34497</v>
      </c>
      <c r="Q80" s="72">
        <v>44</v>
      </c>
      <c r="R80" s="71">
        <v>3296</v>
      </c>
      <c r="S80" s="72">
        <v>4</v>
      </c>
      <c r="T80" s="71">
        <v>936</v>
      </c>
      <c r="U80" s="72">
        <v>1</v>
      </c>
      <c r="V80" s="71">
        <v>44992</v>
      </c>
      <c r="W80" s="72">
        <v>60</v>
      </c>
      <c r="X80" s="71">
        <v>64425</v>
      </c>
      <c r="Y80" s="72">
        <v>86</v>
      </c>
      <c r="Z80" s="71">
        <v>2292</v>
      </c>
      <c r="AA80" s="72">
        <v>3</v>
      </c>
      <c r="AB80" s="71">
        <v>3880</v>
      </c>
      <c r="AC80" s="72">
        <v>9</v>
      </c>
      <c r="AD80" s="71"/>
      <c r="AE80" s="72"/>
      <c r="AF80" s="71">
        <v>312</v>
      </c>
      <c r="AG80" s="72">
        <v>3</v>
      </c>
      <c r="AH80" s="73">
        <f t="shared" si="2"/>
        <v>263259</v>
      </c>
      <c r="AI80" s="74">
        <f t="shared" si="2"/>
        <v>372</v>
      </c>
    </row>
    <row r="81" spans="1:35" ht="15" customHeight="1" x14ac:dyDescent="0.25">
      <c r="A81" s="70">
        <v>46208</v>
      </c>
      <c r="B81" s="71">
        <v>3780</v>
      </c>
      <c r="C81" s="72">
        <v>9</v>
      </c>
      <c r="D81" s="71">
        <v>1840</v>
      </c>
      <c r="E81" s="72">
        <v>2</v>
      </c>
      <c r="F81" s="71">
        <v>23336</v>
      </c>
      <c r="G81" s="72">
        <v>23</v>
      </c>
      <c r="H81" s="71">
        <v>1640</v>
      </c>
      <c r="I81" s="72">
        <v>6</v>
      </c>
      <c r="J81" s="71"/>
      <c r="K81" s="72"/>
      <c r="L81" s="71">
        <v>57518</v>
      </c>
      <c r="M81" s="72">
        <v>104</v>
      </c>
      <c r="N81" s="71">
        <v>8064</v>
      </c>
      <c r="O81" s="72">
        <v>14</v>
      </c>
      <c r="P81" s="71">
        <v>30273</v>
      </c>
      <c r="Q81" s="72">
        <v>40</v>
      </c>
      <c r="R81" s="71">
        <v>2457</v>
      </c>
      <c r="S81" s="72">
        <v>3</v>
      </c>
      <c r="T81" s="71">
        <v>884</v>
      </c>
      <c r="U81" s="72">
        <v>1</v>
      </c>
      <c r="V81" s="71">
        <v>34948</v>
      </c>
      <c r="W81" s="72">
        <v>45</v>
      </c>
      <c r="X81" s="71">
        <v>38501</v>
      </c>
      <c r="Y81" s="72">
        <v>50</v>
      </c>
      <c r="Z81" s="71">
        <v>3288</v>
      </c>
      <c r="AA81" s="72">
        <v>4</v>
      </c>
      <c r="AB81" s="71">
        <v>6028</v>
      </c>
      <c r="AC81" s="72">
        <v>22</v>
      </c>
      <c r="AD81" s="71"/>
      <c r="AE81" s="72"/>
      <c r="AF81" s="71">
        <v>487</v>
      </c>
      <c r="AG81" s="72">
        <v>3</v>
      </c>
      <c r="AH81" s="73">
        <f t="shared" si="2"/>
        <v>213044</v>
      </c>
      <c r="AI81" s="74">
        <f t="shared" si="2"/>
        <v>326</v>
      </c>
    </row>
    <row r="82" spans="1:35" ht="15" customHeight="1" x14ac:dyDescent="0.25">
      <c r="A82" s="70">
        <v>46209</v>
      </c>
      <c r="B82" s="71">
        <v>3980</v>
      </c>
      <c r="C82" s="72">
        <v>9</v>
      </c>
      <c r="D82" s="71">
        <v>1947</v>
      </c>
      <c r="E82" s="72">
        <v>2</v>
      </c>
      <c r="F82" s="71">
        <v>23854</v>
      </c>
      <c r="G82" s="72">
        <v>24</v>
      </c>
      <c r="H82" s="71">
        <v>1740</v>
      </c>
      <c r="I82" s="72">
        <v>6</v>
      </c>
      <c r="J82" s="71">
        <v>220</v>
      </c>
      <c r="K82" s="72">
        <v>2</v>
      </c>
      <c r="L82" s="71">
        <v>57682</v>
      </c>
      <c r="M82" s="72">
        <v>105</v>
      </c>
      <c r="N82" s="71">
        <v>9800</v>
      </c>
      <c r="O82" s="72">
        <v>14</v>
      </c>
      <c r="P82" s="71">
        <v>29868</v>
      </c>
      <c r="Q82" s="72">
        <v>37</v>
      </c>
      <c r="R82" s="71">
        <v>2783</v>
      </c>
      <c r="S82" s="72">
        <v>3</v>
      </c>
      <c r="T82" s="71">
        <v>344</v>
      </c>
      <c r="U82" s="72">
        <v>1</v>
      </c>
      <c r="V82" s="71">
        <v>34980</v>
      </c>
      <c r="W82" s="72">
        <v>44</v>
      </c>
      <c r="X82" s="71">
        <v>35004</v>
      </c>
      <c r="Y82" s="72">
        <v>55</v>
      </c>
      <c r="Z82" s="71">
        <v>2268</v>
      </c>
      <c r="AA82" s="72">
        <v>2</v>
      </c>
      <c r="AB82" s="71">
        <v>6956</v>
      </c>
      <c r="AC82" s="72">
        <v>24</v>
      </c>
      <c r="AD82" s="71">
        <v>62</v>
      </c>
      <c r="AE82" s="72">
        <v>1</v>
      </c>
      <c r="AF82" s="71">
        <v>406</v>
      </c>
      <c r="AG82" s="72">
        <v>3</v>
      </c>
      <c r="AH82" s="73">
        <f t="shared" si="2"/>
        <v>211894</v>
      </c>
      <c r="AI82" s="74">
        <f t="shared" si="2"/>
        <v>332</v>
      </c>
    </row>
    <row r="83" spans="1:35" ht="15" customHeight="1" x14ac:dyDescent="0.25">
      <c r="A83" s="70">
        <v>46210</v>
      </c>
      <c r="B83" s="71">
        <v>4560</v>
      </c>
      <c r="C83" s="72">
        <v>9</v>
      </c>
      <c r="D83" s="71">
        <v>1784</v>
      </c>
      <c r="E83" s="72">
        <v>2</v>
      </c>
      <c r="F83" s="71">
        <v>24525</v>
      </c>
      <c r="G83" s="72">
        <v>22</v>
      </c>
      <c r="H83" s="71">
        <v>2084</v>
      </c>
      <c r="I83" s="72">
        <v>11</v>
      </c>
      <c r="J83" s="71"/>
      <c r="K83" s="72"/>
      <c r="L83" s="71">
        <v>51854</v>
      </c>
      <c r="M83" s="72">
        <v>97</v>
      </c>
      <c r="N83" s="71">
        <v>7568</v>
      </c>
      <c r="O83" s="72">
        <v>14</v>
      </c>
      <c r="P83" s="71">
        <v>28287</v>
      </c>
      <c r="Q83" s="72">
        <v>34</v>
      </c>
      <c r="R83" s="71">
        <v>2523</v>
      </c>
      <c r="S83" s="72">
        <v>4</v>
      </c>
      <c r="T83" s="71">
        <v>436</v>
      </c>
      <c r="U83" s="72">
        <v>1</v>
      </c>
      <c r="V83" s="71">
        <v>33576</v>
      </c>
      <c r="W83" s="72">
        <v>39</v>
      </c>
      <c r="X83" s="71">
        <v>42550</v>
      </c>
      <c r="Y83" s="72">
        <v>50</v>
      </c>
      <c r="Z83" s="71">
        <v>2344</v>
      </c>
      <c r="AA83" s="72">
        <v>3</v>
      </c>
      <c r="AB83" s="71">
        <v>6980</v>
      </c>
      <c r="AC83" s="72">
        <v>25</v>
      </c>
      <c r="AD83" s="71"/>
      <c r="AE83" s="72"/>
      <c r="AF83" s="71">
        <v>463</v>
      </c>
      <c r="AG83" s="72">
        <v>3</v>
      </c>
      <c r="AH83" s="73">
        <f t="shared" si="2"/>
        <v>209534</v>
      </c>
      <c r="AI83" s="74">
        <f t="shared" si="2"/>
        <v>314</v>
      </c>
    </row>
    <row r="84" spans="1:35" ht="15" customHeight="1" x14ac:dyDescent="0.25">
      <c r="A84" s="70">
        <v>46211</v>
      </c>
      <c r="B84" s="71">
        <v>4500</v>
      </c>
      <c r="C84" s="72">
        <v>9</v>
      </c>
      <c r="D84" s="71">
        <v>2373</v>
      </c>
      <c r="E84" s="72">
        <v>2</v>
      </c>
      <c r="F84" s="71">
        <v>22384</v>
      </c>
      <c r="G84" s="72">
        <v>22</v>
      </c>
      <c r="H84" s="71">
        <v>2888</v>
      </c>
      <c r="I84" s="72">
        <v>11</v>
      </c>
      <c r="J84" s="71"/>
      <c r="K84" s="72"/>
      <c r="L84" s="71">
        <v>59330</v>
      </c>
      <c r="M84" s="72">
        <v>109</v>
      </c>
      <c r="N84" s="71">
        <v>7536</v>
      </c>
      <c r="O84" s="72">
        <v>14</v>
      </c>
      <c r="P84" s="71">
        <v>25667</v>
      </c>
      <c r="Q84" s="72">
        <v>34</v>
      </c>
      <c r="R84" s="71">
        <v>2879</v>
      </c>
      <c r="S84" s="72">
        <v>2</v>
      </c>
      <c r="T84" s="71">
        <v>132</v>
      </c>
      <c r="U84" s="72">
        <v>1</v>
      </c>
      <c r="V84" s="71">
        <v>27524</v>
      </c>
      <c r="W84" s="72">
        <v>39</v>
      </c>
      <c r="X84" s="71">
        <v>39419</v>
      </c>
      <c r="Y84" s="72">
        <v>50</v>
      </c>
      <c r="Z84" s="71">
        <v>1980</v>
      </c>
      <c r="AA84" s="72">
        <v>2</v>
      </c>
      <c r="AB84" s="71">
        <v>8178</v>
      </c>
      <c r="AC84" s="72">
        <v>24</v>
      </c>
      <c r="AD84" s="71"/>
      <c r="AE84" s="72"/>
      <c r="AF84" s="71">
        <v>476</v>
      </c>
      <c r="AG84" s="72">
        <v>3</v>
      </c>
      <c r="AH84" s="73">
        <f t="shared" si="2"/>
        <v>205266</v>
      </c>
      <c r="AI84" s="74">
        <f t="shared" si="2"/>
        <v>322</v>
      </c>
    </row>
    <row r="85" spans="1:35" ht="15" customHeight="1" x14ac:dyDescent="0.25">
      <c r="A85" s="70">
        <v>46212</v>
      </c>
      <c r="B85" s="71">
        <v>9372</v>
      </c>
      <c r="C85" s="72">
        <v>11</v>
      </c>
      <c r="D85" s="71">
        <v>2722</v>
      </c>
      <c r="E85" s="72">
        <v>3</v>
      </c>
      <c r="F85" s="71">
        <v>30607</v>
      </c>
      <c r="G85" s="72">
        <v>28</v>
      </c>
      <c r="H85" s="71">
        <v>3040</v>
      </c>
      <c r="I85" s="72">
        <v>12</v>
      </c>
      <c r="J85" s="71">
        <v>176</v>
      </c>
      <c r="K85" s="72">
        <v>2</v>
      </c>
      <c r="L85" s="71">
        <v>55712</v>
      </c>
      <c r="M85" s="72">
        <v>101</v>
      </c>
      <c r="N85" s="71">
        <v>8892</v>
      </c>
      <c r="O85" s="72">
        <v>14</v>
      </c>
      <c r="P85" s="71">
        <v>37737</v>
      </c>
      <c r="Q85" s="72">
        <v>44</v>
      </c>
      <c r="R85" s="71">
        <v>3073</v>
      </c>
      <c r="S85" s="72">
        <v>4</v>
      </c>
      <c r="T85" s="71">
        <v>20</v>
      </c>
      <c r="U85" s="72">
        <v>1</v>
      </c>
      <c r="V85" s="71">
        <v>35696</v>
      </c>
      <c r="W85" s="72">
        <v>45</v>
      </c>
      <c r="X85" s="71">
        <v>53401</v>
      </c>
      <c r="Y85" s="72">
        <v>69</v>
      </c>
      <c r="Z85" s="71">
        <v>3384</v>
      </c>
      <c r="AA85" s="72">
        <v>4</v>
      </c>
      <c r="AB85" s="71">
        <v>7128</v>
      </c>
      <c r="AC85" s="72">
        <v>24</v>
      </c>
      <c r="AD85" s="71"/>
      <c r="AE85" s="72"/>
      <c r="AF85" s="71">
        <v>514</v>
      </c>
      <c r="AG85" s="72">
        <v>3</v>
      </c>
      <c r="AH85" s="73">
        <f t="shared" si="2"/>
        <v>251474</v>
      </c>
      <c r="AI85" s="74">
        <f t="shared" si="2"/>
        <v>365</v>
      </c>
    </row>
    <row r="86" spans="1:35" ht="15" customHeight="1" x14ac:dyDescent="0.25">
      <c r="A86" s="70">
        <v>46213</v>
      </c>
      <c r="B86" s="71"/>
      <c r="C86" s="72"/>
      <c r="D86" s="71"/>
      <c r="E86" s="72"/>
      <c r="F86" s="71"/>
      <c r="G86" s="72"/>
      <c r="H86" s="71">
        <v>2680</v>
      </c>
      <c r="I86" s="72">
        <v>7</v>
      </c>
      <c r="J86" s="71"/>
      <c r="K86" s="72"/>
      <c r="L86" s="71">
        <v>39842</v>
      </c>
      <c r="M86" s="72">
        <v>85</v>
      </c>
      <c r="N86" s="71"/>
      <c r="O86" s="72"/>
      <c r="P86" s="71"/>
      <c r="Q86" s="72"/>
      <c r="R86" s="71"/>
      <c r="S86" s="72"/>
      <c r="T86" s="71"/>
      <c r="U86" s="72"/>
      <c r="V86" s="71"/>
      <c r="W86" s="72"/>
      <c r="X86" s="71"/>
      <c r="Y86" s="72"/>
      <c r="Z86" s="71"/>
      <c r="AA86" s="72"/>
      <c r="AB86" s="71">
        <v>8706</v>
      </c>
      <c r="AC86" s="72">
        <v>16</v>
      </c>
      <c r="AD86" s="71"/>
      <c r="AE86" s="72"/>
      <c r="AF86" s="71">
        <v>535</v>
      </c>
      <c r="AG86" s="72">
        <v>3</v>
      </c>
      <c r="AH86" s="73">
        <f t="shared" si="2"/>
        <v>51763</v>
      </c>
      <c r="AI86" s="74">
        <f t="shared" si="2"/>
        <v>111</v>
      </c>
    </row>
    <row r="87" spans="1:35" ht="15" customHeight="1" x14ac:dyDescent="0.25">
      <c r="A87" s="70">
        <v>46214</v>
      </c>
      <c r="B87" s="71">
        <v>5972</v>
      </c>
      <c r="C87" s="72">
        <v>10</v>
      </c>
      <c r="D87" s="71">
        <v>4182</v>
      </c>
      <c r="E87" s="72">
        <v>4</v>
      </c>
      <c r="F87" s="71">
        <v>31688</v>
      </c>
      <c r="G87" s="72">
        <v>32</v>
      </c>
      <c r="H87" s="71"/>
      <c r="I87" s="72"/>
      <c r="J87" s="71">
        <v>104</v>
      </c>
      <c r="K87" s="72">
        <v>2</v>
      </c>
      <c r="L87" s="71">
        <v>58606</v>
      </c>
      <c r="M87" s="72">
        <v>107</v>
      </c>
      <c r="N87" s="71">
        <v>8736</v>
      </c>
      <c r="O87" s="72">
        <v>14</v>
      </c>
      <c r="P87" s="71">
        <v>32711</v>
      </c>
      <c r="Q87" s="72">
        <v>44</v>
      </c>
      <c r="R87" s="71">
        <v>3408</v>
      </c>
      <c r="S87" s="72">
        <v>4</v>
      </c>
      <c r="T87" s="71">
        <v>1160</v>
      </c>
      <c r="U87" s="72">
        <v>1</v>
      </c>
      <c r="V87" s="71">
        <v>47504</v>
      </c>
      <c r="W87" s="72">
        <v>61</v>
      </c>
      <c r="X87" s="71">
        <v>65725</v>
      </c>
      <c r="Y87" s="72">
        <v>92</v>
      </c>
      <c r="Z87" s="71">
        <v>2836</v>
      </c>
      <c r="AA87" s="72">
        <v>4</v>
      </c>
      <c r="AB87" s="71">
        <v>3556</v>
      </c>
      <c r="AC87" s="72">
        <v>26</v>
      </c>
      <c r="AD87" s="71"/>
      <c r="AE87" s="72"/>
      <c r="AF87" s="71">
        <v>525</v>
      </c>
      <c r="AG87" s="72">
        <v>3</v>
      </c>
      <c r="AH87" s="73">
        <f t="shared" si="2"/>
        <v>266713</v>
      </c>
      <c r="AI87" s="74">
        <f t="shared" si="2"/>
        <v>404</v>
      </c>
    </row>
    <row r="88" spans="1:35" ht="15" customHeight="1" x14ac:dyDescent="0.25">
      <c r="A88" s="70">
        <v>46215</v>
      </c>
      <c r="B88" s="71">
        <v>4728</v>
      </c>
      <c r="C88" s="72">
        <v>9</v>
      </c>
      <c r="D88" s="71">
        <v>2049</v>
      </c>
      <c r="E88" s="72">
        <v>2</v>
      </c>
      <c r="F88" s="71">
        <v>23676</v>
      </c>
      <c r="G88" s="72">
        <v>23</v>
      </c>
      <c r="H88" s="71">
        <v>1484</v>
      </c>
      <c r="I88" s="72">
        <v>5</v>
      </c>
      <c r="J88" s="71"/>
      <c r="K88" s="72"/>
      <c r="L88" s="71">
        <v>54920</v>
      </c>
      <c r="M88" s="72">
        <v>102</v>
      </c>
      <c r="N88" s="71">
        <v>9188</v>
      </c>
      <c r="O88" s="72">
        <v>14</v>
      </c>
      <c r="P88" s="71">
        <v>30791</v>
      </c>
      <c r="Q88" s="72">
        <v>41</v>
      </c>
      <c r="R88" s="71">
        <v>2594</v>
      </c>
      <c r="S88" s="72">
        <v>4</v>
      </c>
      <c r="T88" s="71">
        <v>676</v>
      </c>
      <c r="U88" s="72">
        <v>1</v>
      </c>
      <c r="V88" s="71">
        <v>36648</v>
      </c>
      <c r="W88" s="72">
        <v>45</v>
      </c>
      <c r="X88" s="71">
        <v>39006</v>
      </c>
      <c r="Y88" s="72">
        <v>51</v>
      </c>
      <c r="Z88" s="71">
        <v>2532</v>
      </c>
      <c r="AA88" s="72">
        <v>4</v>
      </c>
      <c r="AB88" s="71">
        <v>7142</v>
      </c>
      <c r="AC88" s="72">
        <v>22</v>
      </c>
      <c r="AD88" s="71"/>
      <c r="AE88" s="72"/>
      <c r="AF88" s="71">
        <v>460</v>
      </c>
      <c r="AG88" s="72">
        <v>3</v>
      </c>
      <c r="AH88" s="73">
        <f t="shared" si="2"/>
        <v>215894</v>
      </c>
      <c r="AI88" s="74">
        <f t="shared" si="2"/>
        <v>326</v>
      </c>
    </row>
    <row r="89" spans="1:35" ht="15" customHeight="1" x14ac:dyDescent="0.25">
      <c r="A89" s="70">
        <v>46216</v>
      </c>
      <c r="B89" s="71">
        <v>5696</v>
      </c>
      <c r="C89" s="72">
        <v>9</v>
      </c>
      <c r="D89" s="71">
        <v>2716</v>
      </c>
      <c r="E89" s="72">
        <v>3</v>
      </c>
      <c r="F89" s="71">
        <v>24443</v>
      </c>
      <c r="G89" s="72">
        <v>24</v>
      </c>
      <c r="H89" s="71">
        <v>1528</v>
      </c>
      <c r="I89" s="72">
        <v>5</v>
      </c>
      <c r="J89" s="71"/>
      <c r="K89" s="72"/>
      <c r="L89" s="71">
        <v>55472</v>
      </c>
      <c r="M89" s="72">
        <v>101</v>
      </c>
      <c r="N89" s="71">
        <v>9228</v>
      </c>
      <c r="O89" s="72">
        <v>14</v>
      </c>
      <c r="P89" s="71">
        <v>28875</v>
      </c>
      <c r="Q89" s="72">
        <v>37</v>
      </c>
      <c r="R89" s="71">
        <v>2844</v>
      </c>
      <c r="S89" s="72">
        <v>4</v>
      </c>
      <c r="T89" s="71">
        <v>368</v>
      </c>
      <c r="U89" s="72">
        <v>1</v>
      </c>
      <c r="V89" s="71">
        <v>34972</v>
      </c>
      <c r="W89" s="72">
        <v>45</v>
      </c>
      <c r="X89" s="71">
        <v>35340</v>
      </c>
      <c r="Y89" s="72">
        <v>47</v>
      </c>
      <c r="Z89" s="71">
        <v>1900</v>
      </c>
      <c r="AA89" s="72">
        <v>3</v>
      </c>
      <c r="AB89" s="71">
        <v>8730</v>
      </c>
      <c r="AC89" s="72">
        <v>11</v>
      </c>
      <c r="AD89" s="71">
        <v>62</v>
      </c>
      <c r="AE89" s="72">
        <v>1</v>
      </c>
      <c r="AF89" s="71">
        <v>381</v>
      </c>
      <c r="AG89" s="72">
        <v>3</v>
      </c>
      <c r="AH89" s="73">
        <f t="shared" si="2"/>
        <v>212555</v>
      </c>
      <c r="AI89" s="74">
        <f t="shared" si="2"/>
        <v>308</v>
      </c>
    </row>
    <row r="90" spans="1:35" x14ac:dyDescent="0.25">
      <c r="A90" s="70">
        <v>46217</v>
      </c>
      <c r="B90" s="71">
        <v>5880</v>
      </c>
      <c r="C90" s="72">
        <v>9</v>
      </c>
      <c r="D90" s="71">
        <v>2229</v>
      </c>
      <c r="E90" s="72">
        <v>2</v>
      </c>
      <c r="F90" s="71">
        <v>23986</v>
      </c>
      <c r="G90" s="72">
        <v>24</v>
      </c>
      <c r="H90" s="71">
        <v>1912</v>
      </c>
      <c r="I90" s="72">
        <v>7</v>
      </c>
      <c r="J90" s="71"/>
      <c r="K90" s="72"/>
      <c r="L90" s="71">
        <v>56852</v>
      </c>
      <c r="M90" s="72">
        <v>105</v>
      </c>
      <c r="N90" s="71">
        <v>7908</v>
      </c>
      <c r="O90" s="72">
        <v>14</v>
      </c>
      <c r="P90" s="71">
        <v>28212</v>
      </c>
      <c r="Q90" s="72">
        <v>35</v>
      </c>
      <c r="R90" s="71">
        <v>2504</v>
      </c>
      <c r="S90" s="72">
        <v>3</v>
      </c>
      <c r="T90" s="71">
        <v>352</v>
      </c>
      <c r="U90" s="72">
        <v>1</v>
      </c>
      <c r="V90" s="71">
        <v>29312</v>
      </c>
      <c r="W90" s="72">
        <v>42</v>
      </c>
      <c r="X90" s="71">
        <v>40721</v>
      </c>
      <c r="Y90" s="72">
        <v>52</v>
      </c>
      <c r="Z90" s="71">
        <v>3036</v>
      </c>
      <c r="AA90" s="72">
        <v>4</v>
      </c>
      <c r="AB90" s="71">
        <v>7132</v>
      </c>
      <c r="AC90" s="72">
        <v>25</v>
      </c>
      <c r="AD90" s="71"/>
      <c r="AE90" s="72"/>
      <c r="AF90" s="71">
        <v>411</v>
      </c>
      <c r="AG90" s="72">
        <v>3</v>
      </c>
      <c r="AH90" s="73">
        <f t="shared" si="2"/>
        <v>210447</v>
      </c>
      <c r="AI90" s="74">
        <f t="shared" si="2"/>
        <v>326</v>
      </c>
    </row>
    <row r="91" spans="1:35" x14ac:dyDescent="0.25">
      <c r="A91" s="70">
        <v>46218</v>
      </c>
      <c r="B91" s="71">
        <v>4800</v>
      </c>
      <c r="C91" s="72">
        <v>9</v>
      </c>
      <c r="D91" s="71">
        <v>2693</v>
      </c>
      <c r="E91" s="72">
        <v>3</v>
      </c>
      <c r="F91" s="71">
        <v>20425</v>
      </c>
      <c r="G91" s="72">
        <v>21</v>
      </c>
      <c r="H91" s="71">
        <v>2668</v>
      </c>
      <c r="I91" s="72">
        <v>12</v>
      </c>
      <c r="J91" s="71"/>
      <c r="K91" s="72"/>
      <c r="L91" s="71">
        <v>57688</v>
      </c>
      <c r="M91" s="72">
        <v>106</v>
      </c>
      <c r="N91" s="71">
        <v>7724</v>
      </c>
      <c r="O91" s="72">
        <v>14</v>
      </c>
      <c r="P91" s="71">
        <v>23121</v>
      </c>
      <c r="Q91" s="72">
        <v>32</v>
      </c>
      <c r="R91" s="71">
        <v>2931</v>
      </c>
      <c r="S91" s="72">
        <v>4</v>
      </c>
      <c r="T91" s="71">
        <v>344</v>
      </c>
      <c r="U91" s="72">
        <v>1</v>
      </c>
      <c r="V91" s="71">
        <v>26372</v>
      </c>
      <c r="W91" s="72">
        <v>36</v>
      </c>
      <c r="X91" s="71">
        <v>37631</v>
      </c>
      <c r="Y91" s="72">
        <v>48</v>
      </c>
      <c r="Z91" s="71">
        <v>2076</v>
      </c>
      <c r="AA91" s="72">
        <v>3</v>
      </c>
      <c r="AB91" s="71">
        <v>8454</v>
      </c>
      <c r="AC91" s="72">
        <v>25</v>
      </c>
      <c r="AD91" s="71"/>
      <c r="AE91" s="72"/>
      <c r="AF91" s="71">
        <v>416</v>
      </c>
      <c r="AG91" s="72">
        <v>3</v>
      </c>
      <c r="AH91" s="73">
        <f t="shared" si="2"/>
        <v>197343</v>
      </c>
      <c r="AI91" s="74">
        <f t="shared" si="2"/>
        <v>317</v>
      </c>
    </row>
    <row r="92" spans="1:35" x14ac:dyDescent="0.25">
      <c r="A92" s="70">
        <v>46219</v>
      </c>
      <c r="B92" s="71">
        <v>7668</v>
      </c>
      <c r="C92" s="72">
        <v>10</v>
      </c>
      <c r="D92" s="71">
        <v>3297</v>
      </c>
      <c r="E92" s="72">
        <v>3</v>
      </c>
      <c r="F92" s="71">
        <v>30267</v>
      </c>
      <c r="G92" s="72">
        <v>31</v>
      </c>
      <c r="H92" s="71">
        <v>2828</v>
      </c>
      <c r="I92" s="72">
        <v>12</v>
      </c>
      <c r="J92" s="71"/>
      <c r="K92" s="72"/>
      <c r="L92" s="71">
        <v>56486</v>
      </c>
      <c r="M92" s="72">
        <v>99</v>
      </c>
      <c r="N92" s="71">
        <v>8852</v>
      </c>
      <c r="O92" s="72">
        <v>14</v>
      </c>
      <c r="P92" s="71">
        <v>34830</v>
      </c>
      <c r="Q92" s="72">
        <v>52</v>
      </c>
      <c r="R92" s="71">
        <v>3154</v>
      </c>
      <c r="S92" s="72">
        <v>4</v>
      </c>
      <c r="T92" s="71">
        <v>0</v>
      </c>
      <c r="U92" s="72">
        <v>1</v>
      </c>
      <c r="V92" s="71">
        <v>35764</v>
      </c>
      <c r="W92" s="72">
        <v>45</v>
      </c>
      <c r="X92" s="71">
        <v>49605</v>
      </c>
      <c r="Y92" s="72">
        <v>64</v>
      </c>
      <c r="Z92" s="71">
        <v>4208</v>
      </c>
      <c r="AA92" s="72">
        <v>5</v>
      </c>
      <c r="AB92" s="71">
        <v>8136</v>
      </c>
      <c r="AC92" s="72">
        <v>25</v>
      </c>
      <c r="AD92" s="71"/>
      <c r="AE92" s="72"/>
      <c r="AF92" s="71">
        <v>527</v>
      </c>
      <c r="AG92" s="72">
        <v>3</v>
      </c>
      <c r="AH92" s="73">
        <f t="shared" si="2"/>
        <v>245622</v>
      </c>
      <c r="AI92" s="74">
        <f t="shared" si="2"/>
        <v>368</v>
      </c>
    </row>
    <row r="93" spans="1:35" x14ac:dyDescent="0.25">
      <c r="A93" s="70">
        <v>46220</v>
      </c>
      <c r="B93" s="71"/>
      <c r="C93" s="72"/>
      <c r="D93" s="71"/>
      <c r="E93" s="72"/>
      <c r="F93" s="71"/>
      <c r="G93" s="72"/>
      <c r="H93" s="71">
        <v>2724</v>
      </c>
      <c r="I93" s="72">
        <v>5</v>
      </c>
      <c r="J93" s="71"/>
      <c r="K93" s="72"/>
      <c r="L93" s="71">
        <v>40324</v>
      </c>
      <c r="M93" s="72">
        <v>85</v>
      </c>
      <c r="N93" s="71"/>
      <c r="O93" s="72"/>
      <c r="P93" s="71"/>
      <c r="Q93" s="72"/>
      <c r="R93" s="71"/>
      <c r="S93" s="72"/>
      <c r="T93" s="71"/>
      <c r="U93" s="72"/>
      <c r="V93" s="71"/>
      <c r="W93" s="72"/>
      <c r="X93" s="71"/>
      <c r="Y93" s="72"/>
      <c r="Z93" s="71"/>
      <c r="AA93" s="72"/>
      <c r="AB93" s="71">
        <v>9890</v>
      </c>
      <c r="AC93" s="72">
        <v>16</v>
      </c>
      <c r="AD93" s="71"/>
      <c r="AE93" s="72"/>
      <c r="AF93" s="71">
        <v>505</v>
      </c>
      <c r="AG93" s="72">
        <v>3</v>
      </c>
      <c r="AH93" s="73">
        <f t="shared" si="2"/>
        <v>53443</v>
      </c>
      <c r="AI93" s="74">
        <f t="shared" si="2"/>
        <v>109</v>
      </c>
    </row>
    <row r="94" spans="1:35" x14ac:dyDescent="0.25">
      <c r="A94" s="70">
        <v>46221</v>
      </c>
      <c r="B94" s="71">
        <v>6284</v>
      </c>
      <c r="C94" s="72">
        <v>10</v>
      </c>
      <c r="D94" s="71">
        <v>3269</v>
      </c>
      <c r="E94" s="72">
        <v>3</v>
      </c>
      <c r="F94" s="71">
        <v>30507</v>
      </c>
      <c r="G94" s="72">
        <v>29</v>
      </c>
      <c r="H94" s="71"/>
      <c r="I94" s="72"/>
      <c r="J94" s="71"/>
      <c r="K94" s="72"/>
      <c r="L94" s="71">
        <v>52608</v>
      </c>
      <c r="M94" s="72">
        <v>99</v>
      </c>
      <c r="N94" s="71">
        <v>11828</v>
      </c>
      <c r="O94" s="72">
        <v>16</v>
      </c>
      <c r="P94" s="71">
        <v>29008</v>
      </c>
      <c r="Q94" s="72">
        <v>37</v>
      </c>
      <c r="R94" s="71">
        <v>3050</v>
      </c>
      <c r="S94" s="72">
        <v>4</v>
      </c>
      <c r="T94" s="71">
        <v>1672</v>
      </c>
      <c r="U94" s="72">
        <v>2</v>
      </c>
      <c r="V94" s="71">
        <v>41896</v>
      </c>
      <c r="W94" s="72">
        <v>56</v>
      </c>
      <c r="X94" s="71">
        <v>60871</v>
      </c>
      <c r="Y94" s="72">
        <v>81</v>
      </c>
      <c r="Z94" s="71">
        <v>2408</v>
      </c>
      <c r="AA94" s="72">
        <v>3</v>
      </c>
      <c r="AB94" s="71">
        <v>3884</v>
      </c>
      <c r="AC94" s="72">
        <v>10</v>
      </c>
      <c r="AD94" s="71"/>
      <c r="AE94" s="72"/>
      <c r="AF94" s="71">
        <v>475</v>
      </c>
      <c r="AG94" s="72">
        <v>3</v>
      </c>
      <c r="AH94" s="73">
        <f t="shared" si="2"/>
        <v>247760</v>
      </c>
      <c r="AI94" s="74">
        <f t="shared" si="2"/>
        <v>353</v>
      </c>
    </row>
    <row r="95" spans="1:35" x14ac:dyDescent="0.25">
      <c r="A95" s="70">
        <v>46222</v>
      </c>
      <c r="B95" s="71">
        <v>5300</v>
      </c>
      <c r="C95" s="72">
        <v>9</v>
      </c>
      <c r="D95" s="71">
        <v>3240</v>
      </c>
      <c r="E95" s="72">
        <v>3</v>
      </c>
      <c r="F95" s="71">
        <v>22352</v>
      </c>
      <c r="G95" s="72">
        <v>23</v>
      </c>
      <c r="H95" s="71">
        <v>1540</v>
      </c>
      <c r="I95" s="72">
        <v>5</v>
      </c>
      <c r="J95" s="71">
        <v>222</v>
      </c>
      <c r="K95" s="72">
        <v>2</v>
      </c>
      <c r="L95" s="71">
        <v>53352</v>
      </c>
      <c r="M95" s="72">
        <v>99</v>
      </c>
      <c r="N95" s="71">
        <v>9096</v>
      </c>
      <c r="O95" s="72">
        <v>14</v>
      </c>
      <c r="P95" s="71">
        <v>27845</v>
      </c>
      <c r="Q95" s="72">
        <v>38</v>
      </c>
      <c r="R95" s="71">
        <v>2443</v>
      </c>
      <c r="S95" s="72">
        <v>3</v>
      </c>
      <c r="T95" s="71">
        <v>1300</v>
      </c>
      <c r="U95" s="72">
        <v>2</v>
      </c>
      <c r="V95" s="71">
        <v>32632</v>
      </c>
      <c r="W95" s="72">
        <v>43</v>
      </c>
      <c r="X95" s="71">
        <v>35346</v>
      </c>
      <c r="Y95" s="72">
        <v>46</v>
      </c>
      <c r="Z95" s="71">
        <v>3244</v>
      </c>
      <c r="AA95" s="72">
        <v>4</v>
      </c>
      <c r="AB95" s="71">
        <v>7150</v>
      </c>
      <c r="AC95" s="72">
        <v>23</v>
      </c>
      <c r="AD95" s="71"/>
      <c r="AE95" s="72"/>
      <c r="AF95" s="71">
        <v>442</v>
      </c>
      <c r="AG95" s="72">
        <v>3</v>
      </c>
      <c r="AH95" s="73">
        <f t="shared" si="2"/>
        <v>205504</v>
      </c>
      <c r="AI95" s="74">
        <f t="shared" si="2"/>
        <v>317</v>
      </c>
    </row>
    <row r="96" spans="1:35" x14ac:dyDescent="0.25">
      <c r="A96" s="70">
        <v>46223</v>
      </c>
      <c r="B96" s="71">
        <v>6008</v>
      </c>
      <c r="C96" s="72">
        <v>10</v>
      </c>
      <c r="D96" s="71">
        <v>2179</v>
      </c>
      <c r="E96" s="72">
        <v>2</v>
      </c>
      <c r="F96" s="71">
        <v>23837</v>
      </c>
      <c r="G96" s="72">
        <v>23</v>
      </c>
      <c r="H96" s="71">
        <v>1548</v>
      </c>
      <c r="I96" s="72">
        <v>5</v>
      </c>
      <c r="J96" s="71"/>
      <c r="K96" s="72"/>
      <c r="L96" s="71">
        <v>52832</v>
      </c>
      <c r="M96" s="72">
        <v>97</v>
      </c>
      <c r="N96" s="71">
        <v>11540</v>
      </c>
      <c r="O96" s="72">
        <v>15</v>
      </c>
      <c r="P96" s="71">
        <v>25462</v>
      </c>
      <c r="Q96" s="72">
        <v>32</v>
      </c>
      <c r="R96" s="71">
        <v>2799</v>
      </c>
      <c r="S96" s="72">
        <v>4</v>
      </c>
      <c r="T96" s="71">
        <v>336</v>
      </c>
      <c r="U96" s="72">
        <v>1</v>
      </c>
      <c r="V96" s="71">
        <v>30372</v>
      </c>
      <c r="W96" s="72">
        <v>40</v>
      </c>
      <c r="X96" s="71">
        <v>34395</v>
      </c>
      <c r="Y96" s="72">
        <v>44</v>
      </c>
      <c r="Z96" s="71">
        <v>2412</v>
      </c>
      <c r="AA96" s="72">
        <v>3</v>
      </c>
      <c r="AB96" s="71">
        <v>8622</v>
      </c>
      <c r="AC96" s="72">
        <v>25</v>
      </c>
      <c r="AD96" s="71">
        <v>74</v>
      </c>
      <c r="AE96" s="72">
        <v>1</v>
      </c>
      <c r="AF96" s="71">
        <v>408</v>
      </c>
      <c r="AG96" s="72">
        <v>3</v>
      </c>
      <c r="AH96" s="73">
        <f t="shared" si="2"/>
        <v>202824</v>
      </c>
      <c r="AI96" s="74">
        <f t="shared" si="2"/>
        <v>305</v>
      </c>
    </row>
    <row r="97" spans="1:35" x14ac:dyDescent="0.25">
      <c r="A97" s="70">
        <v>46224</v>
      </c>
      <c r="B97" s="71">
        <v>4724</v>
      </c>
      <c r="C97" s="72">
        <v>9</v>
      </c>
      <c r="D97" s="71">
        <v>2450</v>
      </c>
      <c r="E97" s="72">
        <v>3</v>
      </c>
      <c r="F97" s="71">
        <v>25471</v>
      </c>
      <c r="G97" s="72">
        <v>24</v>
      </c>
      <c r="H97" s="71">
        <v>1804</v>
      </c>
      <c r="I97" s="72">
        <v>6</v>
      </c>
      <c r="J97" s="71">
        <v>127</v>
      </c>
      <c r="K97" s="72">
        <v>1</v>
      </c>
      <c r="L97" s="71">
        <v>56536</v>
      </c>
      <c r="M97" s="72">
        <v>105</v>
      </c>
      <c r="N97" s="71">
        <v>8264</v>
      </c>
      <c r="O97" s="72">
        <v>14</v>
      </c>
      <c r="P97" s="71">
        <v>27432</v>
      </c>
      <c r="Q97" s="72">
        <v>36</v>
      </c>
      <c r="R97" s="71">
        <v>2374</v>
      </c>
      <c r="S97" s="72">
        <v>3</v>
      </c>
      <c r="T97" s="71">
        <v>324</v>
      </c>
      <c r="U97" s="72">
        <v>1</v>
      </c>
      <c r="V97" s="71">
        <v>29824</v>
      </c>
      <c r="W97" s="72">
        <v>41</v>
      </c>
      <c r="X97" s="71">
        <v>39000</v>
      </c>
      <c r="Y97" s="72">
        <v>51</v>
      </c>
      <c r="Z97" s="71">
        <v>2428</v>
      </c>
      <c r="AA97" s="72">
        <v>3</v>
      </c>
      <c r="AB97" s="71">
        <v>6742</v>
      </c>
      <c r="AC97" s="72">
        <v>23</v>
      </c>
      <c r="AD97" s="71"/>
      <c r="AE97" s="72"/>
      <c r="AF97" s="71">
        <v>387</v>
      </c>
      <c r="AG97" s="72">
        <v>3</v>
      </c>
      <c r="AH97" s="73">
        <f t="shared" si="2"/>
        <v>207887</v>
      </c>
      <c r="AI97" s="74">
        <f t="shared" si="2"/>
        <v>323</v>
      </c>
    </row>
  </sheetData>
  <mergeCells count="18">
    <mergeCell ref="J1:K1"/>
    <mergeCell ref="A1:A2"/>
    <mergeCell ref="B1:C1"/>
    <mergeCell ref="D1:E1"/>
    <mergeCell ref="F1:G1"/>
    <mergeCell ref="H1:I1"/>
    <mergeCell ref="AH1:AI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2"/>
  <sheetViews>
    <sheetView zoomScaleNormal="100" workbookViewId="0">
      <selection activeCell="G28" sqref="G28"/>
    </sheetView>
  </sheetViews>
  <sheetFormatPr defaultColWidth="8.5703125" defaultRowHeight="15" x14ac:dyDescent="0.25"/>
  <cols>
    <col min="1" max="1" width="13.42578125" bestFit="1" customWidth="1"/>
    <col min="2" max="2" width="20.42578125" bestFit="1" customWidth="1"/>
    <col min="3" max="3" width="20.7109375" bestFit="1" customWidth="1"/>
    <col min="4" max="4" width="19.42578125" bestFit="1" customWidth="1"/>
    <col min="5" max="5" width="22.42578125" bestFit="1" customWidth="1"/>
    <col min="6" max="6" width="25.140625" bestFit="1" customWidth="1"/>
    <col min="7" max="7" width="23.42578125" bestFit="1" customWidth="1"/>
    <col min="8" max="8" width="18.85546875" bestFit="1" customWidth="1"/>
    <col min="9" max="9" width="23.42578125" bestFit="1" customWidth="1"/>
    <col min="10" max="44" width="10.42578125" bestFit="1" customWidth="1"/>
    <col min="45" max="45" width="7.28515625" bestFit="1" customWidth="1"/>
    <col min="46" max="46" width="20.7109375" bestFit="1" customWidth="1"/>
    <col min="47" max="88" width="10.42578125" bestFit="1" customWidth="1"/>
    <col min="89" max="89" width="7.28515625" bestFit="1" customWidth="1"/>
    <col min="90" max="90" width="19.42578125" bestFit="1" customWidth="1"/>
    <col min="91" max="132" width="10.42578125" bestFit="1" customWidth="1"/>
    <col min="133" max="133" width="7.28515625" bestFit="1" customWidth="1"/>
    <col min="134" max="134" width="22.42578125" bestFit="1" customWidth="1"/>
    <col min="135" max="176" width="10.42578125" bestFit="1" customWidth="1"/>
    <col min="177" max="177" width="7.28515625" bestFit="1" customWidth="1"/>
    <col min="178" max="178" width="25.140625" bestFit="1" customWidth="1"/>
    <col min="179" max="220" width="10.42578125" bestFit="1" customWidth="1"/>
    <col min="221" max="221" width="7.28515625" bestFit="1" customWidth="1"/>
    <col min="222" max="222" width="23.42578125" bestFit="1" customWidth="1"/>
    <col min="223" max="264" width="10.42578125" bestFit="1" customWidth="1"/>
    <col min="265" max="265" width="7.28515625" bestFit="1" customWidth="1"/>
    <col min="266" max="266" width="18.85546875" bestFit="1" customWidth="1"/>
    <col min="267" max="308" width="10.42578125" bestFit="1" customWidth="1"/>
    <col min="309" max="309" width="7.28515625" bestFit="1" customWidth="1"/>
    <col min="310" max="310" width="23.42578125" bestFit="1" customWidth="1"/>
    <col min="311" max="352" width="10.42578125" bestFit="1" customWidth="1"/>
    <col min="353" max="353" width="7.28515625" bestFit="1" customWidth="1"/>
    <col min="354" max="354" width="25.5703125" bestFit="1" customWidth="1"/>
    <col min="355" max="355" width="25.85546875" bestFit="1" customWidth="1"/>
    <col min="356" max="356" width="24.42578125" bestFit="1" customWidth="1"/>
    <col min="357" max="357" width="27.42578125" bestFit="1" customWidth="1"/>
    <col min="358" max="358" width="30.28515625" bestFit="1" customWidth="1"/>
    <col min="359" max="359" width="28.42578125" bestFit="1" customWidth="1"/>
    <col min="360" max="360" width="23.85546875" bestFit="1" customWidth="1"/>
    <col min="361" max="361" width="28.42578125" bestFit="1" customWidth="1"/>
  </cols>
  <sheetData>
    <row r="2" spans="1:9" x14ac:dyDescent="0.25">
      <c r="A2" s="68" t="s">
        <v>28</v>
      </c>
      <c r="B2" t="s">
        <v>29</v>
      </c>
      <c r="C2" t="s">
        <v>30</v>
      </c>
      <c r="D2" t="s">
        <v>91</v>
      </c>
      <c r="E2" t="s">
        <v>90</v>
      </c>
      <c r="F2" t="s">
        <v>92</v>
      </c>
      <c r="G2" t="s">
        <v>93</v>
      </c>
      <c r="H2" t="s">
        <v>94</v>
      </c>
      <c r="I2" t="s">
        <v>95</v>
      </c>
    </row>
    <row r="3" spans="1:9" x14ac:dyDescent="0.25">
      <c r="A3" s="66" t="s">
        <v>51</v>
      </c>
    </row>
    <row r="4" spans="1:9" x14ac:dyDescent="0.25">
      <c r="A4" s="66" t="s">
        <v>52</v>
      </c>
      <c r="B4">
        <v>95</v>
      </c>
      <c r="C4">
        <v>834.42000000000007</v>
      </c>
      <c r="D4">
        <v>315</v>
      </c>
      <c r="E4">
        <v>187.73999999999998</v>
      </c>
      <c r="F4">
        <v>198</v>
      </c>
      <c r="G4">
        <v>180.38</v>
      </c>
      <c r="H4">
        <v>207</v>
      </c>
      <c r="I4">
        <v>139.35999999999999</v>
      </c>
    </row>
    <row r="5" spans="1:9" x14ac:dyDescent="0.25">
      <c r="A5" s="67" t="s">
        <v>53</v>
      </c>
      <c r="B5">
        <v>31</v>
      </c>
      <c r="C5">
        <v>279</v>
      </c>
      <c r="D5">
        <v>103</v>
      </c>
      <c r="E5">
        <v>91.7</v>
      </c>
      <c r="F5">
        <v>64</v>
      </c>
      <c r="G5">
        <v>68.11</v>
      </c>
      <c r="H5">
        <v>64</v>
      </c>
      <c r="I5">
        <v>68.650000000000006</v>
      </c>
    </row>
    <row r="6" spans="1:9" x14ac:dyDescent="0.25">
      <c r="A6" s="67" t="s">
        <v>54</v>
      </c>
      <c r="B6">
        <v>20</v>
      </c>
      <c r="C6">
        <v>159.92000000000002</v>
      </c>
      <c r="D6">
        <v>69</v>
      </c>
      <c r="E6">
        <v>39.33</v>
      </c>
      <c r="F6">
        <v>51</v>
      </c>
      <c r="G6">
        <v>33.520000000000003</v>
      </c>
      <c r="H6">
        <v>55</v>
      </c>
      <c r="I6">
        <v>24.07</v>
      </c>
    </row>
    <row r="7" spans="1:9" x14ac:dyDescent="0.25">
      <c r="A7" s="67" t="s">
        <v>55</v>
      </c>
      <c r="B7">
        <v>29</v>
      </c>
      <c r="C7">
        <v>266.5</v>
      </c>
      <c r="D7">
        <v>50</v>
      </c>
      <c r="E7">
        <v>43.86</v>
      </c>
      <c r="F7">
        <v>24</v>
      </c>
      <c r="G7">
        <v>37.379999999999995</v>
      </c>
      <c r="H7">
        <v>28</v>
      </c>
      <c r="I7">
        <v>39.97</v>
      </c>
    </row>
    <row r="8" spans="1:9" x14ac:dyDescent="0.25">
      <c r="A8" s="67" t="s">
        <v>56</v>
      </c>
      <c r="B8">
        <v>15</v>
      </c>
      <c r="C8">
        <v>129</v>
      </c>
      <c r="D8">
        <v>93</v>
      </c>
      <c r="E8">
        <v>12.850000000000001</v>
      </c>
      <c r="F8">
        <v>59</v>
      </c>
      <c r="G8">
        <v>41.370000000000005</v>
      </c>
      <c r="H8">
        <v>60</v>
      </c>
      <c r="I8">
        <v>6.669999999999999</v>
      </c>
    </row>
    <row r="9" spans="1:9" x14ac:dyDescent="0.25">
      <c r="A9" s="66" t="s">
        <v>57</v>
      </c>
      <c r="B9">
        <v>220</v>
      </c>
      <c r="C9">
        <v>1891.52</v>
      </c>
      <c r="D9">
        <v>494</v>
      </c>
      <c r="E9">
        <v>256.23</v>
      </c>
      <c r="F9">
        <v>315</v>
      </c>
      <c r="G9">
        <v>226.67000000000004</v>
      </c>
      <c r="H9">
        <v>349</v>
      </c>
      <c r="I9">
        <v>142.30000000000001</v>
      </c>
    </row>
    <row r="10" spans="1:9" x14ac:dyDescent="0.25">
      <c r="A10" s="66" t="s">
        <v>58</v>
      </c>
      <c r="B10">
        <v>359</v>
      </c>
      <c r="C10">
        <v>3144.02</v>
      </c>
      <c r="D10">
        <v>561</v>
      </c>
      <c r="E10">
        <v>412.37000000000006</v>
      </c>
      <c r="F10">
        <v>363</v>
      </c>
      <c r="G10">
        <v>369.68</v>
      </c>
      <c r="H10">
        <v>391</v>
      </c>
      <c r="I10">
        <v>255.54</v>
      </c>
    </row>
    <row r="11" spans="1:9" x14ac:dyDescent="0.25">
      <c r="A11" s="66" t="s">
        <v>59</v>
      </c>
      <c r="B11">
        <v>474</v>
      </c>
      <c r="C11">
        <v>4236.87</v>
      </c>
      <c r="D11">
        <v>476</v>
      </c>
      <c r="E11">
        <v>545.68000000000006</v>
      </c>
      <c r="F11">
        <v>299</v>
      </c>
      <c r="G11">
        <v>364.30999999999995</v>
      </c>
      <c r="H11">
        <v>336</v>
      </c>
      <c r="I11">
        <v>337.44999999999993</v>
      </c>
    </row>
    <row r="12" spans="1:9" x14ac:dyDescent="0.25">
      <c r="A12" s="66" t="s">
        <v>60</v>
      </c>
      <c r="B12">
        <v>555</v>
      </c>
      <c r="C12">
        <v>4645.9500000000007</v>
      </c>
      <c r="D12">
        <v>436</v>
      </c>
      <c r="E12">
        <v>371.29</v>
      </c>
      <c r="F12">
        <v>285</v>
      </c>
      <c r="G12">
        <v>239.03</v>
      </c>
      <c r="H12">
        <v>304</v>
      </c>
      <c r="I12">
        <v>155.97000000000003</v>
      </c>
    </row>
    <row r="13" spans="1:9" x14ac:dyDescent="0.25">
      <c r="A13" s="67" t="s">
        <v>61</v>
      </c>
      <c r="B13">
        <v>142</v>
      </c>
      <c r="C13">
        <v>1253.5500000000002</v>
      </c>
      <c r="D13">
        <v>121</v>
      </c>
      <c r="E13">
        <v>105.44</v>
      </c>
      <c r="F13">
        <v>69</v>
      </c>
      <c r="G13">
        <v>77.079999999999984</v>
      </c>
      <c r="H13">
        <v>86</v>
      </c>
      <c r="I13">
        <v>52.010000000000005</v>
      </c>
    </row>
    <row r="14" spans="1:9" x14ac:dyDescent="0.25">
      <c r="A14" s="67" t="s">
        <v>62</v>
      </c>
      <c r="B14">
        <v>134</v>
      </c>
      <c r="C14">
        <v>1193.1000000000001</v>
      </c>
      <c r="D14">
        <v>113</v>
      </c>
      <c r="E14">
        <v>114.36000000000001</v>
      </c>
      <c r="F14">
        <v>75</v>
      </c>
      <c r="G14">
        <v>58.370000000000005</v>
      </c>
      <c r="H14">
        <v>77</v>
      </c>
      <c r="I14">
        <v>93.710000000000008</v>
      </c>
    </row>
    <row r="15" spans="1:9" x14ac:dyDescent="0.25">
      <c r="A15" s="67" t="s">
        <v>63</v>
      </c>
      <c r="B15">
        <v>160</v>
      </c>
      <c r="C15">
        <v>1287.55</v>
      </c>
      <c r="D15">
        <v>104</v>
      </c>
      <c r="E15">
        <v>90.7</v>
      </c>
      <c r="F15">
        <v>74</v>
      </c>
      <c r="G15">
        <v>60.839999999999996</v>
      </c>
      <c r="H15">
        <v>79</v>
      </c>
      <c r="I15">
        <v>13.25</v>
      </c>
    </row>
    <row r="16" spans="1:9" x14ac:dyDescent="0.25">
      <c r="A16" s="67" t="s">
        <v>64</v>
      </c>
      <c r="B16">
        <v>119</v>
      </c>
      <c r="C16">
        <v>911.75</v>
      </c>
      <c r="D16">
        <v>98</v>
      </c>
      <c r="E16">
        <v>60.79</v>
      </c>
      <c r="F16">
        <v>67</v>
      </c>
      <c r="G16">
        <v>42.74</v>
      </c>
      <c r="H16">
        <v>62</v>
      </c>
      <c r="I16">
        <v>-3</v>
      </c>
    </row>
    <row r="17" spans="1:9" x14ac:dyDescent="0.25">
      <c r="A17" s="66" t="s">
        <v>65</v>
      </c>
    </row>
    <row r="18" spans="1:9" x14ac:dyDescent="0.25">
      <c r="A18" s="66" t="s">
        <v>66</v>
      </c>
    </row>
    <row r="19" spans="1:9" x14ac:dyDescent="0.25">
      <c r="A19" s="66" t="s">
        <v>67</v>
      </c>
    </row>
    <row r="20" spans="1:9" x14ac:dyDescent="0.25">
      <c r="A20" s="66" t="s">
        <v>68</v>
      </c>
    </row>
    <row r="21" spans="1:9" x14ac:dyDescent="0.25">
      <c r="A21" s="66" t="s">
        <v>69</v>
      </c>
    </row>
    <row r="22" spans="1:9" x14ac:dyDescent="0.25">
      <c r="A22" s="66" t="s">
        <v>70</v>
      </c>
      <c r="B22">
        <v>1703</v>
      </c>
      <c r="C22">
        <v>14752.78</v>
      </c>
      <c r="D22">
        <v>2282</v>
      </c>
      <c r="E22">
        <v>1773.3100000000002</v>
      </c>
      <c r="F22">
        <v>1460</v>
      </c>
      <c r="G22">
        <v>1380.0699999999997</v>
      </c>
      <c r="H22">
        <v>1587</v>
      </c>
      <c r="I22">
        <v>1030.6199999999999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324"/>
  <sheetViews>
    <sheetView zoomScaleNormal="100" workbookViewId="0">
      <selection activeCell="F24" sqref="F24"/>
    </sheetView>
  </sheetViews>
  <sheetFormatPr defaultColWidth="8.5703125" defaultRowHeight="15" x14ac:dyDescent="0.25"/>
  <cols>
    <col min="2" max="3" width="13.42578125" customWidth="1"/>
    <col min="4" max="4" width="13.28515625" customWidth="1"/>
  </cols>
  <sheetData>
    <row r="3" spans="2:3" ht="15" customHeight="1" x14ac:dyDescent="0.25">
      <c r="B3" s="58" t="s">
        <v>28</v>
      </c>
      <c r="C3" s="59" t="s">
        <v>48</v>
      </c>
    </row>
    <row r="4" spans="2:3" ht="15" customHeight="1" x14ac:dyDescent="0.25">
      <c r="B4" s="53" t="s">
        <v>31</v>
      </c>
      <c r="C4" s="60"/>
    </row>
    <row r="5" spans="2:3" ht="15" customHeight="1" x14ac:dyDescent="0.25">
      <c r="B5" s="54">
        <v>46110</v>
      </c>
      <c r="C5" s="61"/>
    </row>
    <row r="6" spans="2:3" ht="15" customHeight="1" x14ac:dyDescent="0.25">
      <c r="B6" s="55" t="s">
        <v>32</v>
      </c>
      <c r="C6" s="62"/>
    </row>
    <row r="7" spans="2:3" ht="15" customHeight="1" x14ac:dyDescent="0.25">
      <c r="B7" s="55" t="s">
        <v>33</v>
      </c>
      <c r="C7" s="62"/>
    </row>
    <row r="8" spans="2:3" ht="15" customHeight="1" x14ac:dyDescent="0.25">
      <c r="B8" s="55" t="s">
        <v>34</v>
      </c>
      <c r="C8" s="62"/>
    </row>
    <row r="9" spans="2:3" ht="15" customHeight="1" x14ac:dyDescent="0.25">
      <c r="B9" s="56" t="s">
        <v>35</v>
      </c>
      <c r="C9" s="63"/>
    </row>
    <row r="10" spans="2:3" ht="15" customHeight="1" x14ac:dyDescent="0.25">
      <c r="B10" s="54">
        <v>46117</v>
      </c>
      <c r="C10" s="61"/>
    </row>
    <row r="11" spans="2:3" ht="15" customHeight="1" x14ac:dyDescent="0.25">
      <c r="B11" s="55" t="s">
        <v>37</v>
      </c>
      <c r="C11" s="62"/>
    </row>
    <row r="12" spans="2:3" ht="15" customHeight="1" x14ac:dyDescent="0.25">
      <c r="B12" s="55" t="s">
        <v>39</v>
      </c>
      <c r="C12" s="62"/>
    </row>
    <row r="13" spans="2:3" ht="15" customHeight="1" x14ac:dyDescent="0.25">
      <c r="B13" s="55" t="s">
        <v>32</v>
      </c>
      <c r="C13" s="62"/>
    </row>
    <row r="14" spans="2:3" ht="15" customHeight="1" x14ac:dyDescent="0.25">
      <c r="B14" s="55" t="s">
        <v>33</v>
      </c>
      <c r="C14" s="62"/>
    </row>
    <row r="15" spans="2:3" ht="15" customHeight="1" x14ac:dyDescent="0.25">
      <c r="B15" s="55" t="s">
        <v>34</v>
      </c>
      <c r="C15" s="62"/>
    </row>
    <row r="16" spans="2:3" ht="15" customHeight="1" x14ac:dyDescent="0.25">
      <c r="B16" s="55" t="s">
        <v>35</v>
      </c>
      <c r="C16" s="62"/>
    </row>
    <row r="17" spans="2:3" ht="15" customHeight="1" x14ac:dyDescent="0.25">
      <c r="B17" s="56" t="s">
        <v>38</v>
      </c>
      <c r="C17" s="63"/>
    </row>
    <row r="18" spans="2:3" ht="15" customHeight="1" x14ac:dyDescent="0.25">
      <c r="B18" s="54">
        <v>46124</v>
      </c>
      <c r="C18" s="61"/>
    </row>
    <row r="19" spans="2:3" ht="15" customHeight="1" x14ac:dyDescent="0.25">
      <c r="B19" s="55" t="s">
        <v>37</v>
      </c>
      <c r="C19" s="62"/>
    </row>
    <row r="20" spans="2:3" ht="15" customHeight="1" x14ac:dyDescent="0.25">
      <c r="B20" s="55" t="s">
        <v>39</v>
      </c>
      <c r="C20" s="62"/>
    </row>
    <row r="21" spans="2:3" ht="15" customHeight="1" x14ac:dyDescent="0.25">
      <c r="B21" s="55" t="s">
        <v>32</v>
      </c>
      <c r="C21" s="62"/>
    </row>
    <row r="22" spans="2:3" ht="15" customHeight="1" x14ac:dyDescent="0.25">
      <c r="B22" s="55" t="s">
        <v>33</v>
      </c>
      <c r="C22" s="62"/>
    </row>
    <row r="23" spans="2:3" ht="15" customHeight="1" x14ac:dyDescent="0.25">
      <c r="B23" s="55" t="s">
        <v>34</v>
      </c>
      <c r="C23" s="62"/>
    </row>
    <row r="24" spans="2:3" ht="15" customHeight="1" x14ac:dyDescent="0.25">
      <c r="B24" s="55" t="s">
        <v>35</v>
      </c>
      <c r="C24" s="62"/>
    </row>
    <row r="25" spans="2:3" ht="15" customHeight="1" x14ac:dyDescent="0.25">
      <c r="B25" s="56" t="s">
        <v>38</v>
      </c>
      <c r="C25" s="63"/>
    </row>
    <row r="26" spans="2:3" ht="15" customHeight="1" x14ac:dyDescent="0.25">
      <c r="B26" s="54">
        <v>46131</v>
      </c>
      <c r="C26" s="61"/>
    </row>
    <row r="27" spans="2:3" ht="15" customHeight="1" x14ac:dyDescent="0.25">
      <c r="B27" s="55" t="s">
        <v>37</v>
      </c>
      <c r="C27" s="62"/>
    </row>
    <row r="28" spans="2:3" ht="15" customHeight="1" x14ac:dyDescent="0.25">
      <c r="B28" s="55" t="s">
        <v>39</v>
      </c>
      <c r="C28" s="62"/>
    </row>
    <row r="29" spans="2:3" ht="15" customHeight="1" x14ac:dyDescent="0.25">
      <c r="B29" s="55" t="s">
        <v>32</v>
      </c>
      <c r="C29" s="62"/>
    </row>
    <row r="30" spans="2:3" ht="15" customHeight="1" x14ac:dyDescent="0.25">
      <c r="B30" s="55" t="s">
        <v>33</v>
      </c>
      <c r="C30" s="62"/>
    </row>
    <row r="31" spans="2:3" ht="15" customHeight="1" x14ac:dyDescent="0.25">
      <c r="B31" s="55" t="s">
        <v>34</v>
      </c>
      <c r="C31" s="62"/>
    </row>
    <row r="32" spans="2:3" ht="15" customHeight="1" x14ac:dyDescent="0.25">
      <c r="B32" s="55" t="s">
        <v>35</v>
      </c>
      <c r="C32" s="62"/>
    </row>
    <row r="33" spans="2:3" ht="15" customHeight="1" x14ac:dyDescent="0.25">
      <c r="B33" s="56" t="s">
        <v>38</v>
      </c>
      <c r="C33" s="63"/>
    </row>
    <row r="34" spans="2:3" ht="15" customHeight="1" x14ac:dyDescent="0.25">
      <c r="B34" s="54">
        <v>46138</v>
      </c>
      <c r="C34" s="61"/>
    </row>
    <row r="35" spans="2:3" ht="15" customHeight="1" x14ac:dyDescent="0.25">
      <c r="B35" s="55" t="s">
        <v>37</v>
      </c>
      <c r="C35" s="62"/>
    </row>
    <row r="36" spans="2:3" ht="15" customHeight="1" x14ac:dyDescent="0.25">
      <c r="B36" s="55" t="s">
        <v>39</v>
      </c>
      <c r="C36" s="62"/>
    </row>
    <row r="37" spans="2:3" ht="15" customHeight="1" x14ac:dyDescent="0.25">
      <c r="B37" s="55" t="s">
        <v>32</v>
      </c>
      <c r="C37" s="62"/>
    </row>
    <row r="38" spans="2:3" ht="15" customHeight="1" x14ac:dyDescent="0.25">
      <c r="B38" s="55" t="s">
        <v>33</v>
      </c>
      <c r="C38" s="62"/>
    </row>
    <row r="39" spans="2:3" ht="15" customHeight="1" x14ac:dyDescent="0.25">
      <c r="B39" s="56" t="s">
        <v>38</v>
      </c>
      <c r="C39" s="63"/>
    </row>
    <row r="40" spans="2:3" ht="15" customHeight="1" x14ac:dyDescent="0.25">
      <c r="B40" s="53" t="s">
        <v>43</v>
      </c>
      <c r="C40" s="60"/>
    </row>
    <row r="41" spans="2:3" ht="15" customHeight="1" x14ac:dyDescent="0.25">
      <c r="B41" s="54">
        <v>46229</v>
      </c>
      <c r="C41" s="61"/>
    </row>
    <row r="42" spans="2:3" ht="15" customHeight="1" x14ac:dyDescent="0.25">
      <c r="B42" s="56" t="s">
        <v>35</v>
      </c>
      <c r="C42" s="63"/>
    </row>
    <row r="43" spans="2:3" ht="15" customHeight="1" x14ac:dyDescent="0.25">
      <c r="B43" s="54">
        <v>46236</v>
      </c>
      <c r="C43" s="61"/>
    </row>
    <row r="44" spans="2:3" ht="15" customHeight="1" x14ac:dyDescent="0.25">
      <c r="B44" s="55" t="s">
        <v>37</v>
      </c>
      <c r="C44" s="62"/>
    </row>
    <row r="45" spans="2:3" ht="15" customHeight="1" x14ac:dyDescent="0.25">
      <c r="B45" s="55" t="s">
        <v>39</v>
      </c>
      <c r="C45" s="62"/>
    </row>
    <row r="46" spans="2:3" ht="15" customHeight="1" x14ac:dyDescent="0.25">
      <c r="B46" s="55" t="s">
        <v>32</v>
      </c>
      <c r="C46" s="62"/>
    </row>
    <row r="47" spans="2:3" ht="15" customHeight="1" x14ac:dyDescent="0.25">
      <c r="B47" s="55" t="s">
        <v>33</v>
      </c>
      <c r="C47" s="62"/>
    </row>
    <row r="48" spans="2:3" ht="15" customHeight="1" x14ac:dyDescent="0.25">
      <c r="B48" s="55" t="s">
        <v>34</v>
      </c>
      <c r="C48" s="62"/>
    </row>
    <row r="49" spans="2:3" ht="15" customHeight="1" x14ac:dyDescent="0.25">
      <c r="B49" s="55" t="s">
        <v>35</v>
      </c>
      <c r="C49" s="62"/>
    </row>
    <row r="50" spans="2:3" ht="15" customHeight="1" x14ac:dyDescent="0.25">
      <c r="B50" s="56" t="s">
        <v>38</v>
      </c>
      <c r="C50" s="63"/>
    </row>
    <row r="51" spans="2:3" ht="15" customHeight="1" x14ac:dyDescent="0.25">
      <c r="B51" s="54">
        <v>46243</v>
      </c>
      <c r="C51" s="61"/>
    </row>
    <row r="52" spans="2:3" ht="15" customHeight="1" x14ac:dyDescent="0.25">
      <c r="B52" s="55" t="s">
        <v>37</v>
      </c>
      <c r="C52" s="62"/>
    </row>
    <row r="53" spans="2:3" ht="15" customHeight="1" x14ac:dyDescent="0.25">
      <c r="B53" s="55" t="s">
        <v>39</v>
      </c>
      <c r="C53" s="62"/>
    </row>
    <row r="54" spans="2:3" ht="15" customHeight="1" x14ac:dyDescent="0.25">
      <c r="B54" s="55" t="s">
        <v>32</v>
      </c>
      <c r="C54" s="62"/>
    </row>
    <row r="55" spans="2:3" ht="15" customHeight="1" x14ac:dyDescent="0.25">
      <c r="B55" s="55" t="s">
        <v>33</v>
      </c>
      <c r="C55" s="62"/>
    </row>
    <row r="56" spans="2:3" ht="15" customHeight="1" x14ac:dyDescent="0.25">
      <c r="B56" s="55" t="s">
        <v>34</v>
      </c>
      <c r="C56" s="62"/>
    </row>
    <row r="57" spans="2:3" ht="15" customHeight="1" x14ac:dyDescent="0.25">
      <c r="B57" s="55" t="s">
        <v>35</v>
      </c>
      <c r="C57" s="62"/>
    </row>
    <row r="58" spans="2:3" ht="15" customHeight="1" x14ac:dyDescent="0.25">
      <c r="B58" s="56" t="s">
        <v>38</v>
      </c>
      <c r="C58" s="63"/>
    </row>
    <row r="59" spans="2:3" ht="15" customHeight="1" x14ac:dyDescent="0.25">
      <c r="B59" s="54">
        <v>46250</v>
      </c>
      <c r="C59" s="61"/>
    </row>
    <row r="60" spans="2:3" ht="15" customHeight="1" x14ac:dyDescent="0.25">
      <c r="B60" s="55" t="s">
        <v>37</v>
      </c>
      <c r="C60" s="62"/>
    </row>
    <row r="61" spans="2:3" ht="15" customHeight="1" x14ac:dyDescent="0.25">
      <c r="B61" s="55" t="s">
        <v>39</v>
      </c>
      <c r="C61" s="62"/>
    </row>
    <row r="62" spans="2:3" ht="15" customHeight="1" x14ac:dyDescent="0.25">
      <c r="B62" s="55" t="s">
        <v>32</v>
      </c>
      <c r="C62" s="62"/>
    </row>
    <row r="63" spans="2:3" ht="15" customHeight="1" x14ac:dyDescent="0.25">
      <c r="B63" s="55" t="s">
        <v>33</v>
      </c>
      <c r="C63" s="62"/>
    </row>
    <row r="64" spans="2:3" ht="15" customHeight="1" x14ac:dyDescent="0.25">
      <c r="B64" s="55" t="s">
        <v>34</v>
      </c>
      <c r="C64" s="62"/>
    </row>
    <row r="65" spans="2:3" ht="15" customHeight="1" x14ac:dyDescent="0.25">
      <c r="B65" s="55" t="s">
        <v>35</v>
      </c>
      <c r="C65" s="62"/>
    </row>
    <row r="66" spans="2:3" ht="15" customHeight="1" x14ac:dyDescent="0.25">
      <c r="B66" s="56" t="s">
        <v>38</v>
      </c>
      <c r="C66" s="63"/>
    </row>
    <row r="67" spans="2:3" ht="15" customHeight="1" x14ac:dyDescent="0.25">
      <c r="B67" s="54">
        <v>46257</v>
      </c>
      <c r="C67" s="61"/>
    </row>
    <row r="68" spans="2:3" ht="15" customHeight="1" x14ac:dyDescent="0.25">
      <c r="B68" s="55" t="s">
        <v>37</v>
      </c>
      <c r="C68" s="62"/>
    </row>
    <row r="69" spans="2:3" ht="15" customHeight="1" x14ac:dyDescent="0.25">
      <c r="B69" s="55" t="s">
        <v>39</v>
      </c>
      <c r="C69" s="62"/>
    </row>
    <row r="70" spans="2:3" ht="15" customHeight="1" x14ac:dyDescent="0.25">
      <c r="B70" s="55" t="s">
        <v>32</v>
      </c>
      <c r="C70" s="62"/>
    </row>
    <row r="71" spans="2:3" ht="15" customHeight="1" x14ac:dyDescent="0.25">
      <c r="B71" s="55" t="s">
        <v>33</v>
      </c>
      <c r="C71" s="62"/>
    </row>
    <row r="72" spans="2:3" ht="15" customHeight="1" x14ac:dyDescent="0.25">
      <c r="B72" s="55" t="s">
        <v>34</v>
      </c>
      <c r="C72" s="62"/>
    </row>
    <row r="73" spans="2:3" ht="15" customHeight="1" x14ac:dyDescent="0.25">
      <c r="B73" s="55" t="s">
        <v>35</v>
      </c>
      <c r="C73" s="62"/>
    </row>
    <row r="74" spans="2:3" ht="15" customHeight="1" x14ac:dyDescent="0.25">
      <c r="B74" s="56" t="s">
        <v>38</v>
      </c>
      <c r="C74" s="63"/>
    </row>
    <row r="75" spans="2:3" ht="15" customHeight="1" x14ac:dyDescent="0.25">
      <c r="B75" s="54">
        <v>46264</v>
      </c>
      <c r="C75" s="61"/>
    </row>
    <row r="76" spans="2:3" ht="15" customHeight="1" x14ac:dyDescent="0.25">
      <c r="B76" s="55" t="s">
        <v>37</v>
      </c>
      <c r="C76" s="62"/>
    </row>
    <row r="77" spans="2:3" ht="15" customHeight="1" x14ac:dyDescent="0.25">
      <c r="B77" s="56" t="s">
        <v>38</v>
      </c>
      <c r="C77" s="63"/>
    </row>
    <row r="78" spans="2:3" ht="15" customHeight="1" x14ac:dyDescent="0.25">
      <c r="B78" s="53" t="s">
        <v>47</v>
      </c>
      <c r="C78" s="60"/>
    </row>
    <row r="79" spans="2:3" ht="15" customHeight="1" x14ac:dyDescent="0.25">
      <c r="B79" s="54">
        <v>46355</v>
      </c>
      <c r="C79" s="61"/>
    </row>
    <row r="80" spans="2:3" ht="15" customHeight="1" x14ac:dyDescent="0.25">
      <c r="B80" s="55" t="s">
        <v>39</v>
      </c>
      <c r="C80" s="62"/>
    </row>
    <row r="81" spans="2:3" ht="15" customHeight="1" x14ac:dyDescent="0.25">
      <c r="B81" s="55" t="s">
        <v>32</v>
      </c>
      <c r="C81" s="62"/>
    </row>
    <row r="82" spans="2:3" ht="15" customHeight="1" x14ac:dyDescent="0.25">
      <c r="B82" s="55" t="s">
        <v>33</v>
      </c>
      <c r="C82" s="62"/>
    </row>
    <row r="83" spans="2:3" ht="15" customHeight="1" x14ac:dyDescent="0.25">
      <c r="B83" s="55" t="s">
        <v>34</v>
      </c>
      <c r="C83" s="62"/>
    </row>
    <row r="84" spans="2:3" ht="15" customHeight="1" x14ac:dyDescent="0.25">
      <c r="B84" s="56" t="s">
        <v>35</v>
      </c>
      <c r="C84" s="63"/>
    </row>
    <row r="85" spans="2:3" ht="15" customHeight="1" x14ac:dyDescent="0.25">
      <c r="B85" s="54">
        <v>46362</v>
      </c>
      <c r="C85" s="61"/>
    </row>
    <row r="86" spans="2:3" ht="15" customHeight="1" x14ac:dyDescent="0.25">
      <c r="B86" s="55" t="s">
        <v>37</v>
      </c>
      <c r="C86" s="62"/>
    </row>
    <row r="87" spans="2:3" ht="15" customHeight="1" x14ac:dyDescent="0.25">
      <c r="B87" s="55" t="s">
        <v>39</v>
      </c>
      <c r="C87" s="62"/>
    </row>
    <row r="88" spans="2:3" ht="15" customHeight="1" x14ac:dyDescent="0.25">
      <c r="B88" s="55" t="s">
        <v>32</v>
      </c>
      <c r="C88" s="62"/>
    </row>
    <row r="89" spans="2:3" ht="15" customHeight="1" x14ac:dyDescent="0.25">
      <c r="B89" s="55" t="s">
        <v>33</v>
      </c>
      <c r="C89" s="62"/>
    </row>
    <row r="90" spans="2:3" ht="15" customHeight="1" x14ac:dyDescent="0.25">
      <c r="B90" s="55" t="s">
        <v>34</v>
      </c>
      <c r="C90" s="62"/>
    </row>
    <row r="91" spans="2:3" ht="15" customHeight="1" x14ac:dyDescent="0.25">
      <c r="B91" s="55" t="s">
        <v>35</v>
      </c>
      <c r="C91" s="62"/>
    </row>
    <row r="92" spans="2:3" ht="15" customHeight="1" x14ac:dyDescent="0.25">
      <c r="B92" s="56" t="s">
        <v>38</v>
      </c>
      <c r="C92" s="63"/>
    </row>
    <row r="93" spans="2:3" ht="15" customHeight="1" x14ac:dyDescent="0.25">
      <c r="B93" s="54">
        <v>46369</v>
      </c>
      <c r="C93" s="61"/>
    </row>
    <row r="94" spans="2:3" ht="15" customHeight="1" x14ac:dyDescent="0.25">
      <c r="B94" s="55" t="s">
        <v>37</v>
      </c>
      <c r="C94" s="62"/>
    </row>
    <row r="95" spans="2:3" ht="15" customHeight="1" x14ac:dyDescent="0.25">
      <c r="B95" s="55" t="s">
        <v>39</v>
      </c>
      <c r="C95" s="62"/>
    </row>
    <row r="96" spans="2:3" ht="15" customHeight="1" x14ac:dyDescent="0.25">
      <c r="B96" s="55" t="s">
        <v>32</v>
      </c>
      <c r="C96" s="62"/>
    </row>
    <row r="97" spans="2:3" ht="15" customHeight="1" x14ac:dyDescent="0.25">
      <c r="B97" s="55" t="s">
        <v>33</v>
      </c>
      <c r="C97" s="62"/>
    </row>
    <row r="98" spans="2:3" ht="15" customHeight="1" x14ac:dyDescent="0.25">
      <c r="B98" s="55" t="s">
        <v>34</v>
      </c>
      <c r="C98" s="62"/>
    </row>
    <row r="99" spans="2:3" ht="15" customHeight="1" x14ac:dyDescent="0.25">
      <c r="B99" s="55" t="s">
        <v>35</v>
      </c>
      <c r="C99" s="62"/>
    </row>
    <row r="100" spans="2:3" ht="15" customHeight="1" x14ac:dyDescent="0.25">
      <c r="B100" s="56" t="s">
        <v>38</v>
      </c>
      <c r="C100" s="63"/>
    </row>
    <row r="101" spans="2:3" ht="15" customHeight="1" x14ac:dyDescent="0.25">
      <c r="B101" s="54">
        <v>46376</v>
      </c>
      <c r="C101" s="61"/>
    </row>
    <row r="102" spans="2:3" ht="15" customHeight="1" x14ac:dyDescent="0.25">
      <c r="B102" s="55" t="s">
        <v>37</v>
      </c>
      <c r="C102" s="62"/>
    </row>
    <row r="103" spans="2:3" ht="15" customHeight="1" x14ac:dyDescent="0.25">
      <c r="B103" s="55" t="s">
        <v>39</v>
      </c>
      <c r="C103" s="62"/>
    </row>
    <row r="104" spans="2:3" ht="15" customHeight="1" x14ac:dyDescent="0.25">
      <c r="B104" s="55" t="s">
        <v>32</v>
      </c>
      <c r="C104" s="62"/>
    </row>
    <row r="105" spans="2:3" ht="15" customHeight="1" x14ac:dyDescent="0.25">
      <c r="B105" s="55" t="s">
        <v>33</v>
      </c>
      <c r="C105" s="62"/>
    </row>
    <row r="106" spans="2:3" ht="15" customHeight="1" x14ac:dyDescent="0.25">
      <c r="B106" s="55" t="s">
        <v>34</v>
      </c>
      <c r="C106" s="62"/>
    </row>
    <row r="107" spans="2:3" ht="15" customHeight="1" x14ac:dyDescent="0.25">
      <c r="B107" s="55" t="s">
        <v>35</v>
      </c>
      <c r="C107" s="62"/>
    </row>
    <row r="108" spans="2:3" ht="15" customHeight="1" x14ac:dyDescent="0.25">
      <c r="B108" s="56" t="s">
        <v>38</v>
      </c>
      <c r="C108" s="63"/>
    </row>
    <row r="109" spans="2:3" ht="15" customHeight="1" x14ac:dyDescent="0.25">
      <c r="B109" s="54">
        <v>46383</v>
      </c>
      <c r="C109" s="61"/>
    </row>
    <row r="110" spans="2:3" ht="15" customHeight="1" x14ac:dyDescent="0.25">
      <c r="B110" s="55" t="s">
        <v>37</v>
      </c>
      <c r="C110" s="62"/>
    </row>
    <row r="111" spans="2:3" ht="15" customHeight="1" x14ac:dyDescent="0.25">
      <c r="B111" s="55" t="s">
        <v>39</v>
      </c>
      <c r="C111" s="62"/>
    </row>
    <row r="112" spans="2:3" ht="15" customHeight="1" x14ac:dyDescent="0.25">
      <c r="B112" s="55" t="s">
        <v>32</v>
      </c>
      <c r="C112" s="62"/>
    </row>
    <row r="113" spans="2:3" ht="15" customHeight="1" x14ac:dyDescent="0.25">
      <c r="B113" s="55" t="s">
        <v>33</v>
      </c>
      <c r="C113" s="62"/>
    </row>
    <row r="114" spans="2:3" ht="15" customHeight="1" x14ac:dyDescent="0.25">
      <c r="B114" s="56" t="s">
        <v>38</v>
      </c>
      <c r="C114" s="63"/>
    </row>
    <row r="115" spans="2:3" ht="15" customHeight="1" x14ac:dyDescent="0.25">
      <c r="B115" s="53" t="s">
        <v>42</v>
      </c>
      <c r="C115" s="60"/>
    </row>
    <row r="116" spans="2:3" ht="15" customHeight="1" x14ac:dyDescent="0.25">
      <c r="B116" s="54">
        <v>46201</v>
      </c>
      <c r="C116" s="61"/>
    </row>
    <row r="117" spans="2:3" ht="15" customHeight="1" x14ac:dyDescent="0.25">
      <c r="B117" s="55" t="s">
        <v>32</v>
      </c>
      <c r="C117" s="62"/>
    </row>
    <row r="118" spans="2:3" ht="15" customHeight="1" x14ac:dyDescent="0.25">
      <c r="B118" s="55" t="s">
        <v>33</v>
      </c>
      <c r="C118" s="62"/>
    </row>
    <row r="119" spans="2:3" ht="15" customHeight="1" x14ac:dyDescent="0.25">
      <c r="B119" s="55" t="s">
        <v>34</v>
      </c>
      <c r="C119" s="62"/>
    </row>
    <row r="120" spans="2:3" ht="15" customHeight="1" x14ac:dyDescent="0.25">
      <c r="B120" s="56" t="s">
        <v>35</v>
      </c>
      <c r="C120" s="63"/>
    </row>
    <row r="121" spans="2:3" ht="15" customHeight="1" x14ac:dyDescent="0.25">
      <c r="B121" s="54">
        <v>46208</v>
      </c>
      <c r="C121" s="61"/>
    </row>
    <row r="122" spans="2:3" ht="15" customHeight="1" x14ac:dyDescent="0.25">
      <c r="B122" s="55" t="s">
        <v>37</v>
      </c>
      <c r="C122" s="62"/>
    </row>
    <row r="123" spans="2:3" ht="15" customHeight="1" x14ac:dyDescent="0.25">
      <c r="B123" s="55" t="s">
        <v>39</v>
      </c>
      <c r="C123" s="62"/>
    </row>
    <row r="124" spans="2:3" ht="15" customHeight="1" x14ac:dyDescent="0.25">
      <c r="B124" s="55" t="s">
        <v>32</v>
      </c>
      <c r="C124" s="62"/>
    </row>
    <row r="125" spans="2:3" ht="15" customHeight="1" x14ac:dyDescent="0.25">
      <c r="B125" s="55" t="s">
        <v>33</v>
      </c>
      <c r="C125" s="62"/>
    </row>
    <row r="126" spans="2:3" ht="15" customHeight="1" x14ac:dyDescent="0.25">
      <c r="B126" s="55" t="s">
        <v>34</v>
      </c>
      <c r="C126" s="62"/>
    </row>
    <row r="127" spans="2:3" ht="15" customHeight="1" x14ac:dyDescent="0.25">
      <c r="B127" s="55" t="s">
        <v>35</v>
      </c>
      <c r="C127" s="62"/>
    </row>
    <row r="128" spans="2:3" ht="15" customHeight="1" x14ac:dyDescent="0.25">
      <c r="B128" s="56" t="s">
        <v>38</v>
      </c>
      <c r="C128" s="63"/>
    </row>
    <row r="129" spans="2:3" ht="15" customHeight="1" x14ac:dyDescent="0.25">
      <c r="B129" s="54">
        <v>46215</v>
      </c>
      <c r="C129" s="61"/>
    </row>
    <row r="130" spans="2:3" ht="15" customHeight="1" x14ac:dyDescent="0.25">
      <c r="B130" s="55" t="s">
        <v>37</v>
      </c>
      <c r="C130" s="62"/>
    </row>
    <row r="131" spans="2:3" ht="15" customHeight="1" x14ac:dyDescent="0.25">
      <c r="B131" s="55" t="s">
        <v>39</v>
      </c>
      <c r="C131" s="62"/>
    </row>
    <row r="132" spans="2:3" ht="15" customHeight="1" x14ac:dyDescent="0.25">
      <c r="B132" s="55" t="s">
        <v>32</v>
      </c>
      <c r="C132" s="62"/>
    </row>
    <row r="133" spans="2:3" ht="15" customHeight="1" x14ac:dyDescent="0.25">
      <c r="B133" s="55" t="s">
        <v>33</v>
      </c>
      <c r="C133" s="62"/>
    </row>
    <row r="134" spans="2:3" ht="15" customHeight="1" x14ac:dyDescent="0.25">
      <c r="B134" s="55" t="s">
        <v>34</v>
      </c>
      <c r="C134" s="62"/>
    </row>
    <row r="135" spans="2:3" ht="15" customHeight="1" x14ac:dyDescent="0.25">
      <c r="B135" s="55" t="s">
        <v>35</v>
      </c>
      <c r="C135" s="62"/>
    </row>
    <row r="136" spans="2:3" ht="15" customHeight="1" x14ac:dyDescent="0.25">
      <c r="B136" s="56" t="s">
        <v>38</v>
      </c>
      <c r="C136" s="63"/>
    </row>
    <row r="137" spans="2:3" ht="15" customHeight="1" x14ac:dyDescent="0.25">
      <c r="B137" s="54">
        <v>46222</v>
      </c>
      <c r="C137" s="61"/>
    </row>
    <row r="138" spans="2:3" ht="15" customHeight="1" x14ac:dyDescent="0.25">
      <c r="B138" s="55" t="s">
        <v>37</v>
      </c>
      <c r="C138" s="62"/>
    </row>
    <row r="139" spans="2:3" ht="15" customHeight="1" x14ac:dyDescent="0.25">
      <c r="B139" s="55" t="s">
        <v>39</v>
      </c>
      <c r="C139" s="62"/>
    </row>
    <row r="140" spans="2:3" ht="15" customHeight="1" x14ac:dyDescent="0.25">
      <c r="B140" s="55" t="s">
        <v>32</v>
      </c>
      <c r="C140" s="62"/>
    </row>
    <row r="141" spans="2:3" ht="15" customHeight="1" x14ac:dyDescent="0.25">
      <c r="B141" s="55" t="s">
        <v>33</v>
      </c>
      <c r="C141" s="62"/>
    </row>
    <row r="142" spans="2:3" ht="15" customHeight="1" x14ac:dyDescent="0.25">
      <c r="B142" s="55" t="s">
        <v>34</v>
      </c>
      <c r="C142" s="62"/>
    </row>
    <row r="143" spans="2:3" ht="15" customHeight="1" x14ac:dyDescent="0.25">
      <c r="B143" s="55" t="s">
        <v>35</v>
      </c>
      <c r="C143" s="62"/>
    </row>
    <row r="144" spans="2:3" ht="15" customHeight="1" x14ac:dyDescent="0.25">
      <c r="B144" s="56" t="s">
        <v>38</v>
      </c>
      <c r="C144" s="63"/>
    </row>
    <row r="145" spans="2:3" ht="15" customHeight="1" x14ac:dyDescent="0.25">
      <c r="B145" s="54">
        <v>46229</v>
      </c>
      <c r="C145" s="61"/>
    </row>
    <row r="146" spans="2:3" ht="15" customHeight="1" x14ac:dyDescent="0.25">
      <c r="B146" s="55" t="s">
        <v>37</v>
      </c>
      <c r="C146" s="62"/>
    </row>
    <row r="147" spans="2:3" ht="15" customHeight="1" x14ac:dyDescent="0.25">
      <c r="B147" s="55" t="s">
        <v>39</v>
      </c>
      <c r="C147" s="62"/>
    </row>
    <row r="148" spans="2:3" ht="15" customHeight="1" x14ac:dyDescent="0.25">
      <c r="B148" s="55" t="s">
        <v>32</v>
      </c>
      <c r="C148" s="62"/>
    </row>
    <row r="149" spans="2:3" ht="15" customHeight="1" x14ac:dyDescent="0.25">
      <c r="B149" s="55" t="s">
        <v>33</v>
      </c>
      <c r="C149" s="62"/>
    </row>
    <row r="150" spans="2:3" ht="15" customHeight="1" x14ac:dyDescent="0.25">
      <c r="B150" s="55" t="s">
        <v>34</v>
      </c>
      <c r="C150" s="62"/>
    </row>
    <row r="151" spans="2:3" ht="15" customHeight="1" x14ac:dyDescent="0.25">
      <c r="B151" s="56" t="s">
        <v>38</v>
      </c>
      <c r="C151" s="63"/>
    </row>
    <row r="152" spans="2:3" ht="15" customHeight="1" x14ac:dyDescent="0.25">
      <c r="B152" s="53" t="s">
        <v>41</v>
      </c>
      <c r="C152" s="60"/>
    </row>
    <row r="153" spans="2:3" ht="15" customHeight="1" x14ac:dyDescent="0.25">
      <c r="B153" s="54">
        <v>46173</v>
      </c>
      <c r="C153" s="61"/>
    </row>
    <row r="154" spans="2:3" ht="15" customHeight="1" x14ac:dyDescent="0.25">
      <c r="B154" s="55" t="s">
        <v>37</v>
      </c>
      <c r="C154" s="62"/>
    </row>
    <row r="155" spans="2:3" ht="15" customHeight="1" x14ac:dyDescent="0.25">
      <c r="B155" s="55" t="s">
        <v>39</v>
      </c>
      <c r="C155" s="62"/>
    </row>
    <row r="156" spans="2:3" ht="15" customHeight="1" x14ac:dyDescent="0.25">
      <c r="B156" s="55" t="s">
        <v>32</v>
      </c>
      <c r="C156" s="62"/>
    </row>
    <row r="157" spans="2:3" ht="15" customHeight="1" x14ac:dyDescent="0.25">
      <c r="B157" s="55" t="s">
        <v>33</v>
      </c>
      <c r="C157" s="62"/>
    </row>
    <row r="158" spans="2:3" ht="15" customHeight="1" x14ac:dyDescent="0.25">
      <c r="B158" s="55" t="s">
        <v>34</v>
      </c>
      <c r="C158" s="62"/>
    </row>
    <row r="159" spans="2:3" ht="15" customHeight="1" x14ac:dyDescent="0.25">
      <c r="B159" s="56" t="s">
        <v>35</v>
      </c>
      <c r="C159" s="63"/>
    </row>
    <row r="160" spans="2:3" ht="15" customHeight="1" x14ac:dyDescent="0.25">
      <c r="B160" s="54">
        <v>46180</v>
      </c>
      <c r="C160" s="61"/>
    </row>
    <row r="161" spans="2:3" ht="15" customHeight="1" x14ac:dyDescent="0.25">
      <c r="B161" s="55" t="s">
        <v>37</v>
      </c>
      <c r="C161" s="62"/>
    </row>
    <row r="162" spans="2:3" ht="15" customHeight="1" x14ac:dyDescent="0.25">
      <c r="B162" s="55" t="s">
        <v>39</v>
      </c>
      <c r="C162" s="62"/>
    </row>
    <row r="163" spans="2:3" ht="15" customHeight="1" x14ac:dyDescent="0.25">
      <c r="B163" s="55" t="s">
        <v>32</v>
      </c>
      <c r="C163" s="62"/>
    </row>
    <row r="164" spans="2:3" ht="15" customHeight="1" x14ac:dyDescent="0.25">
      <c r="B164" s="55" t="s">
        <v>33</v>
      </c>
      <c r="C164" s="62"/>
    </row>
    <row r="165" spans="2:3" ht="15" customHeight="1" x14ac:dyDescent="0.25">
      <c r="B165" s="55" t="s">
        <v>34</v>
      </c>
      <c r="C165" s="62"/>
    </row>
    <row r="166" spans="2:3" ht="15" customHeight="1" x14ac:dyDescent="0.25">
      <c r="B166" s="55" t="s">
        <v>35</v>
      </c>
      <c r="C166" s="62"/>
    </row>
    <row r="167" spans="2:3" ht="15" customHeight="1" x14ac:dyDescent="0.25">
      <c r="B167" s="56" t="s">
        <v>38</v>
      </c>
      <c r="C167" s="63"/>
    </row>
    <row r="168" spans="2:3" ht="15" customHeight="1" x14ac:dyDescent="0.25">
      <c r="B168" s="54">
        <v>46187</v>
      </c>
      <c r="C168" s="61"/>
    </row>
    <row r="169" spans="2:3" ht="15" customHeight="1" x14ac:dyDescent="0.25">
      <c r="B169" s="55" t="s">
        <v>37</v>
      </c>
      <c r="C169" s="62"/>
    </row>
    <row r="170" spans="2:3" ht="15" customHeight="1" x14ac:dyDescent="0.25">
      <c r="B170" s="55" t="s">
        <v>39</v>
      </c>
      <c r="C170" s="62"/>
    </row>
    <row r="171" spans="2:3" ht="15" customHeight="1" x14ac:dyDescent="0.25">
      <c r="B171" s="55" t="s">
        <v>32</v>
      </c>
      <c r="C171" s="62"/>
    </row>
    <row r="172" spans="2:3" ht="15" customHeight="1" x14ac:dyDescent="0.25">
      <c r="B172" s="55" t="s">
        <v>33</v>
      </c>
      <c r="C172" s="62"/>
    </row>
    <row r="173" spans="2:3" ht="15" customHeight="1" x14ac:dyDescent="0.25">
      <c r="B173" s="55" t="s">
        <v>34</v>
      </c>
      <c r="C173" s="62"/>
    </row>
    <row r="174" spans="2:3" ht="15" customHeight="1" x14ac:dyDescent="0.25">
      <c r="B174" s="55" t="s">
        <v>35</v>
      </c>
      <c r="C174" s="62"/>
    </row>
    <row r="175" spans="2:3" ht="15" customHeight="1" x14ac:dyDescent="0.25">
      <c r="B175" s="56" t="s">
        <v>38</v>
      </c>
      <c r="C175" s="63"/>
    </row>
    <row r="176" spans="2:3" ht="15" customHeight="1" x14ac:dyDescent="0.25">
      <c r="B176" s="54">
        <v>46194</v>
      </c>
      <c r="C176" s="61"/>
    </row>
    <row r="177" spans="2:3" ht="15" customHeight="1" x14ac:dyDescent="0.25">
      <c r="B177" s="55" t="s">
        <v>37</v>
      </c>
      <c r="C177" s="62"/>
    </row>
    <row r="178" spans="2:3" ht="15" customHeight="1" x14ac:dyDescent="0.25">
      <c r="B178" s="55" t="s">
        <v>39</v>
      </c>
      <c r="C178" s="62"/>
    </row>
    <row r="179" spans="2:3" ht="15" customHeight="1" x14ac:dyDescent="0.25">
      <c r="B179" s="55" t="s">
        <v>32</v>
      </c>
      <c r="C179" s="62"/>
    </row>
    <row r="180" spans="2:3" ht="15" customHeight="1" x14ac:dyDescent="0.25">
      <c r="B180" s="55" t="s">
        <v>33</v>
      </c>
      <c r="C180" s="62"/>
    </row>
    <row r="181" spans="2:3" ht="15" customHeight="1" x14ac:dyDescent="0.25">
      <c r="B181" s="55" t="s">
        <v>34</v>
      </c>
      <c r="C181" s="62"/>
    </row>
    <row r="182" spans="2:3" ht="15" customHeight="1" x14ac:dyDescent="0.25">
      <c r="B182" s="55" t="s">
        <v>35</v>
      </c>
      <c r="C182" s="62"/>
    </row>
    <row r="183" spans="2:3" ht="15" customHeight="1" x14ac:dyDescent="0.25">
      <c r="B183" s="56" t="s">
        <v>38</v>
      </c>
      <c r="C183" s="63"/>
    </row>
    <row r="184" spans="2:3" ht="15" customHeight="1" x14ac:dyDescent="0.25">
      <c r="B184" s="54">
        <v>46201</v>
      </c>
      <c r="C184" s="61"/>
    </row>
    <row r="185" spans="2:3" ht="15" customHeight="1" x14ac:dyDescent="0.25">
      <c r="B185" s="55" t="s">
        <v>37</v>
      </c>
      <c r="C185" s="62"/>
    </row>
    <row r="186" spans="2:3" ht="15" customHeight="1" x14ac:dyDescent="0.25">
      <c r="B186" s="55" t="s">
        <v>39</v>
      </c>
      <c r="C186" s="62"/>
    </row>
    <row r="187" spans="2:3" ht="15" customHeight="1" x14ac:dyDescent="0.25">
      <c r="B187" s="56" t="s">
        <v>38</v>
      </c>
      <c r="C187" s="63"/>
    </row>
    <row r="188" spans="2:3" ht="15" customHeight="1" x14ac:dyDescent="0.25">
      <c r="B188" s="64" t="s">
        <v>40</v>
      </c>
      <c r="C188" s="60"/>
    </row>
    <row r="189" spans="2:3" ht="15" customHeight="1" x14ac:dyDescent="0.25">
      <c r="B189" s="53" t="s">
        <v>46</v>
      </c>
      <c r="C189" s="60"/>
    </row>
    <row r="190" spans="2:3" ht="15" customHeight="1" x14ac:dyDescent="0.25">
      <c r="B190" s="54">
        <v>46327</v>
      </c>
      <c r="C190" s="61"/>
    </row>
    <row r="191" spans="2:3" ht="15" customHeight="1" x14ac:dyDescent="0.25">
      <c r="B191" s="55" t="s">
        <v>37</v>
      </c>
      <c r="C191" s="62"/>
    </row>
    <row r="192" spans="2:3" ht="15" customHeight="1" x14ac:dyDescent="0.25">
      <c r="B192" s="55" t="s">
        <v>39</v>
      </c>
      <c r="C192" s="62"/>
    </row>
    <row r="193" spans="2:3" ht="15" customHeight="1" x14ac:dyDescent="0.25">
      <c r="B193" s="55" t="s">
        <v>32</v>
      </c>
      <c r="C193" s="62"/>
    </row>
    <row r="194" spans="2:3" ht="15" customHeight="1" x14ac:dyDescent="0.25">
      <c r="B194" s="55" t="s">
        <v>33</v>
      </c>
      <c r="C194" s="62"/>
    </row>
    <row r="195" spans="2:3" ht="15" customHeight="1" x14ac:dyDescent="0.25">
      <c r="B195" s="55" t="s">
        <v>34</v>
      </c>
      <c r="C195" s="62"/>
    </row>
    <row r="196" spans="2:3" ht="15" customHeight="1" x14ac:dyDescent="0.25">
      <c r="B196" s="55" t="s">
        <v>35</v>
      </c>
      <c r="C196" s="62"/>
    </row>
    <row r="197" spans="2:3" ht="15" customHeight="1" x14ac:dyDescent="0.25">
      <c r="B197" s="56" t="s">
        <v>38</v>
      </c>
      <c r="C197" s="63"/>
    </row>
    <row r="198" spans="2:3" ht="15" customHeight="1" x14ac:dyDescent="0.25">
      <c r="B198" s="54">
        <v>46334</v>
      </c>
      <c r="C198" s="61"/>
    </row>
    <row r="199" spans="2:3" ht="15" customHeight="1" x14ac:dyDescent="0.25">
      <c r="B199" s="55" t="s">
        <v>37</v>
      </c>
      <c r="C199" s="62"/>
    </row>
    <row r="200" spans="2:3" ht="15" customHeight="1" x14ac:dyDescent="0.25">
      <c r="B200" s="55" t="s">
        <v>39</v>
      </c>
      <c r="C200" s="62"/>
    </row>
    <row r="201" spans="2:3" ht="15" customHeight="1" x14ac:dyDescent="0.25">
      <c r="B201" s="55" t="s">
        <v>32</v>
      </c>
      <c r="C201" s="62"/>
    </row>
    <row r="202" spans="2:3" ht="15" customHeight="1" x14ac:dyDescent="0.25">
      <c r="B202" s="55" t="s">
        <v>33</v>
      </c>
      <c r="C202" s="62"/>
    </row>
    <row r="203" spans="2:3" ht="15" customHeight="1" x14ac:dyDescent="0.25">
      <c r="B203" s="55" t="s">
        <v>34</v>
      </c>
      <c r="C203" s="62"/>
    </row>
    <row r="204" spans="2:3" ht="15" customHeight="1" x14ac:dyDescent="0.25">
      <c r="B204" s="55" t="s">
        <v>35</v>
      </c>
      <c r="C204" s="62"/>
    </row>
    <row r="205" spans="2:3" ht="15" customHeight="1" x14ac:dyDescent="0.25">
      <c r="B205" s="56" t="s">
        <v>38</v>
      </c>
      <c r="C205" s="63"/>
    </row>
    <row r="206" spans="2:3" ht="15" customHeight="1" x14ac:dyDescent="0.25">
      <c r="B206" s="54">
        <v>46341</v>
      </c>
      <c r="C206" s="61"/>
    </row>
    <row r="207" spans="2:3" ht="15" customHeight="1" x14ac:dyDescent="0.25">
      <c r="B207" s="55" t="s">
        <v>37</v>
      </c>
      <c r="C207" s="62"/>
    </row>
    <row r="208" spans="2:3" ht="15" customHeight="1" x14ac:dyDescent="0.25">
      <c r="B208" s="55" t="s">
        <v>39</v>
      </c>
      <c r="C208" s="62"/>
    </row>
    <row r="209" spans="2:3" ht="15" customHeight="1" x14ac:dyDescent="0.25">
      <c r="B209" s="55" t="s">
        <v>32</v>
      </c>
      <c r="C209" s="62"/>
    </row>
    <row r="210" spans="2:3" ht="15" customHeight="1" x14ac:dyDescent="0.25">
      <c r="B210" s="55" t="s">
        <v>33</v>
      </c>
      <c r="C210" s="62"/>
    </row>
    <row r="211" spans="2:3" ht="15" customHeight="1" x14ac:dyDescent="0.25">
      <c r="B211" s="55" t="s">
        <v>34</v>
      </c>
      <c r="C211" s="62"/>
    </row>
    <row r="212" spans="2:3" ht="15" customHeight="1" x14ac:dyDescent="0.25">
      <c r="B212" s="55" t="s">
        <v>35</v>
      </c>
      <c r="C212" s="62"/>
    </row>
    <row r="213" spans="2:3" ht="15" customHeight="1" x14ac:dyDescent="0.25">
      <c r="B213" s="56" t="s">
        <v>38</v>
      </c>
      <c r="C213" s="63"/>
    </row>
    <row r="214" spans="2:3" ht="15" customHeight="1" x14ac:dyDescent="0.25">
      <c r="B214" s="54">
        <v>46348</v>
      </c>
      <c r="C214" s="61"/>
    </row>
    <row r="215" spans="2:3" ht="15" customHeight="1" x14ac:dyDescent="0.25">
      <c r="B215" s="55" t="s">
        <v>37</v>
      </c>
      <c r="C215" s="62"/>
    </row>
    <row r="216" spans="2:3" ht="15" customHeight="1" x14ac:dyDescent="0.25">
      <c r="B216" s="55" t="s">
        <v>39</v>
      </c>
      <c r="C216" s="62"/>
    </row>
    <row r="217" spans="2:3" ht="15" customHeight="1" x14ac:dyDescent="0.25">
      <c r="B217" s="55" t="s">
        <v>32</v>
      </c>
      <c r="C217" s="62"/>
    </row>
    <row r="218" spans="2:3" ht="15" customHeight="1" x14ac:dyDescent="0.25">
      <c r="B218" s="55" t="s">
        <v>33</v>
      </c>
      <c r="C218" s="62"/>
    </row>
    <row r="219" spans="2:3" ht="15" customHeight="1" x14ac:dyDescent="0.25">
      <c r="B219" s="55" t="s">
        <v>34</v>
      </c>
      <c r="C219" s="62"/>
    </row>
    <row r="220" spans="2:3" ht="15" customHeight="1" x14ac:dyDescent="0.25">
      <c r="B220" s="55" t="s">
        <v>35</v>
      </c>
      <c r="C220" s="62"/>
    </row>
    <row r="221" spans="2:3" ht="15" customHeight="1" x14ac:dyDescent="0.25">
      <c r="B221" s="56" t="s">
        <v>38</v>
      </c>
      <c r="C221" s="63"/>
    </row>
    <row r="222" spans="2:3" ht="15" customHeight="1" x14ac:dyDescent="0.25">
      <c r="B222" s="54">
        <v>46355</v>
      </c>
      <c r="C222" s="61"/>
    </row>
    <row r="223" spans="2:3" ht="15" customHeight="1" x14ac:dyDescent="0.25">
      <c r="B223" s="55" t="s">
        <v>37</v>
      </c>
      <c r="C223" s="62"/>
    </row>
    <row r="224" spans="2:3" ht="15" customHeight="1" x14ac:dyDescent="0.25">
      <c r="B224" s="56" t="s">
        <v>38</v>
      </c>
      <c r="C224" s="63"/>
    </row>
    <row r="225" spans="2:3" ht="15" customHeight="1" x14ac:dyDescent="0.25">
      <c r="B225" s="53" t="s">
        <v>45</v>
      </c>
      <c r="C225" s="60"/>
    </row>
    <row r="226" spans="2:3" ht="15" customHeight="1" x14ac:dyDescent="0.25">
      <c r="B226" s="54">
        <v>46292</v>
      </c>
      <c r="C226" s="61"/>
    </row>
    <row r="227" spans="2:3" ht="15" customHeight="1" x14ac:dyDescent="0.25">
      <c r="B227" s="55" t="s">
        <v>33</v>
      </c>
      <c r="C227" s="62"/>
    </row>
    <row r="228" spans="2:3" ht="15" customHeight="1" x14ac:dyDescent="0.25">
      <c r="B228" s="55" t="s">
        <v>34</v>
      </c>
      <c r="C228" s="62"/>
    </row>
    <row r="229" spans="2:3" ht="15" customHeight="1" x14ac:dyDescent="0.25">
      <c r="B229" s="56" t="s">
        <v>35</v>
      </c>
      <c r="C229" s="63"/>
    </row>
    <row r="230" spans="2:3" ht="15" customHeight="1" x14ac:dyDescent="0.25">
      <c r="B230" s="54">
        <v>46299</v>
      </c>
      <c r="C230" s="61"/>
    </row>
    <row r="231" spans="2:3" ht="15" customHeight="1" x14ac:dyDescent="0.25">
      <c r="B231" s="55" t="s">
        <v>37</v>
      </c>
      <c r="C231" s="62"/>
    </row>
    <row r="232" spans="2:3" ht="15" customHeight="1" x14ac:dyDescent="0.25">
      <c r="B232" s="55" t="s">
        <v>39</v>
      </c>
      <c r="C232" s="62"/>
    </row>
    <row r="233" spans="2:3" ht="15" customHeight="1" x14ac:dyDescent="0.25">
      <c r="B233" s="55" t="s">
        <v>32</v>
      </c>
      <c r="C233" s="62"/>
    </row>
    <row r="234" spans="2:3" ht="15" customHeight="1" x14ac:dyDescent="0.25">
      <c r="B234" s="55" t="s">
        <v>33</v>
      </c>
      <c r="C234" s="62"/>
    </row>
    <row r="235" spans="2:3" ht="15" customHeight="1" x14ac:dyDescent="0.25">
      <c r="B235" s="55" t="s">
        <v>34</v>
      </c>
      <c r="C235" s="62"/>
    </row>
    <row r="236" spans="2:3" ht="15" customHeight="1" x14ac:dyDescent="0.25">
      <c r="B236" s="55" t="s">
        <v>35</v>
      </c>
      <c r="C236" s="62"/>
    </row>
    <row r="237" spans="2:3" ht="15" customHeight="1" x14ac:dyDescent="0.25">
      <c r="B237" s="56" t="s">
        <v>38</v>
      </c>
      <c r="C237" s="63"/>
    </row>
    <row r="238" spans="2:3" ht="15" customHeight="1" x14ac:dyDescent="0.25">
      <c r="B238" s="54">
        <v>46306</v>
      </c>
      <c r="C238" s="61"/>
    </row>
    <row r="239" spans="2:3" ht="15" customHeight="1" x14ac:dyDescent="0.25">
      <c r="B239" s="55" t="s">
        <v>37</v>
      </c>
      <c r="C239" s="62"/>
    </row>
    <row r="240" spans="2:3" ht="15" customHeight="1" x14ac:dyDescent="0.25">
      <c r="B240" s="55" t="s">
        <v>39</v>
      </c>
      <c r="C240" s="62"/>
    </row>
    <row r="241" spans="2:3" ht="15" customHeight="1" x14ac:dyDescent="0.25">
      <c r="B241" s="55" t="s">
        <v>32</v>
      </c>
      <c r="C241" s="62"/>
    </row>
    <row r="242" spans="2:3" ht="15" customHeight="1" x14ac:dyDescent="0.25">
      <c r="B242" s="55" t="s">
        <v>33</v>
      </c>
      <c r="C242" s="62"/>
    </row>
    <row r="243" spans="2:3" ht="15" customHeight="1" x14ac:dyDescent="0.25">
      <c r="B243" s="55" t="s">
        <v>34</v>
      </c>
      <c r="C243" s="62"/>
    </row>
    <row r="244" spans="2:3" ht="15" customHeight="1" x14ac:dyDescent="0.25">
      <c r="B244" s="55" t="s">
        <v>35</v>
      </c>
      <c r="C244" s="62"/>
    </row>
    <row r="245" spans="2:3" ht="15" customHeight="1" x14ac:dyDescent="0.25">
      <c r="B245" s="56" t="s">
        <v>38</v>
      </c>
      <c r="C245" s="63"/>
    </row>
    <row r="246" spans="2:3" ht="15" customHeight="1" x14ac:dyDescent="0.25">
      <c r="B246" s="54">
        <v>46313</v>
      </c>
      <c r="C246" s="61"/>
    </row>
    <row r="247" spans="2:3" ht="15" customHeight="1" x14ac:dyDescent="0.25">
      <c r="B247" s="55" t="s">
        <v>37</v>
      </c>
      <c r="C247" s="62"/>
    </row>
    <row r="248" spans="2:3" ht="15" customHeight="1" x14ac:dyDescent="0.25">
      <c r="B248" s="55" t="s">
        <v>39</v>
      </c>
      <c r="C248" s="62"/>
    </row>
    <row r="249" spans="2:3" ht="15" customHeight="1" x14ac:dyDescent="0.25">
      <c r="B249" s="55" t="s">
        <v>32</v>
      </c>
      <c r="C249" s="62"/>
    </row>
    <row r="250" spans="2:3" ht="15" customHeight="1" x14ac:dyDescent="0.25">
      <c r="B250" s="55" t="s">
        <v>33</v>
      </c>
      <c r="C250" s="62"/>
    </row>
    <row r="251" spans="2:3" ht="15" customHeight="1" x14ac:dyDescent="0.25">
      <c r="B251" s="55" t="s">
        <v>34</v>
      </c>
      <c r="C251" s="62"/>
    </row>
    <row r="252" spans="2:3" ht="15" customHeight="1" x14ac:dyDescent="0.25">
      <c r="B252" s="55" t="s">
        <v>35</v>
      </c>
      <c r="C252" s="62"/>
    </row>
    <row r="253" spans="2:3" ht="15" customHeight="1" x14ac:dyDescent="0.25">
      <c r="B253" s="56" t="s">
        <v>38</v>
      </c>
      <c r="C253" s="63"/>
    </row>
    <row r="254" spans="2:3" ht="15" customHeight="1" x14ac:dyDescent="0.25">
      <c r="B254" s="54">
        <v>46320</v>
      </c>
      <c r="C254" s="61"/>
    </row>
    <row r="255" spans="2:3" ht="15" customHeight="1" x14ac:dyDescent="0.25">
      <c r="B255" s="55" t="s">
        <v>37</v>
      </c>
      <c r="C255" s="62"/>
    </row>
    <row r="256" spans="2:3" ht="15" customHeight="1" x14ac:dyDescent="0.25">
      <c r="B256" s="55" t="s">
        <v>39</v>
      </c>
      <c r="C256" s="62"/>
    </row>
    <row r="257" spans="2:3" ht="15" customHeight="1" x14ac:dyDescent="0.25">
      <c r="B257" s="55" t="s">
        <v>32</v>
      </c>
      <c r="C257" s="62"/>
    </row>
    <row r="258" spans="2:3" ht="15" customHeight="1" x14ac:dyDescent="0.25">
      <c r="B258" s="55" t="s">
        <v>33</v>
      </c>
      <c r="C258" s="62"/>
    </row>
    <row r="259" spans="2:3" ht="15" customHeight="1" x14ac:dyDescent="0.25">
      <c r="B259" s="55" t="s">
        <v>34</v>
      </c>
      <c r="C259" s="62"/>
    </row>
    <row r="260" spans="2:3" ht="15" customHeight="1" x14ac:dyDescent="0.25">
      <c r="B260" s="55" t="s">
        <v>35</v>
      </c>
      <c r="C260" s="62"/>
    </row>
    <row r="261" spans="2:3" ht="15" customHeight="1" x14ac:dyDescent="0.25">
      <c r="B261" s="56" t="s">
        <v>38</v>
      </c>
      <c r="C261" s="63"/>
    </row>
    <row r="262" spans="2:3" ht="15" customHeight="1" x14ac:dyDescent="0.25">
      <c r="B262" s="53" t="s">
        <v>44</v>
      </c>
      <c r="C262" s="60"/>
    </row>
    <row r="263" spans="2:3" ht="15" customHeight="1" x14ac:dyDescent="0.25">
      <c r="B263" s="54">
        <v>46264</v>
      </c>
      <c r="C263" s="61"/>
    </row>
    <row r="264" spans="2:3" ht="15" customHeight="1" x14ac:dyDescent="0.25">
      <c r="B264" s="55" t="s">
        <v>39</v>
      </c>
      <c r="C264" s="62"/>
    </row>
    <row r="265" spans="2:3" ht="15" customHeight="1" x14ac:dyDescent="0.25">
      <c r="B265" s="55" t="s">
        <v>32</v>
      </c>
      <c r="C265" s="62"/>
    </row>
    <row r="266" spans="2:3" ht="15" customHeight="1" x14ac:dyDescent="0.25">
      <c r="B266" s="55" t="s">
        <v>33</v>
      </c>
      <c r="C266" s="62"/>
    </row>
    <row r="267" spans="2:3" ht="15" customHeight="1" x14ac:dyDescent="0.25">
      <c r="B267" s="55" t="s">
        <v>34</v>
      </c>
      <c r="C267" s="62"/>
    </row>
    <row r="268" spans="2:3" ht="15" customHeight="1" x14ac:dyDescent="0.25">
      <c r="B268" s="56" t="s">
        <v>35</v>
      </c>
      <c r="C268" s="63"/>
    </row>
    <row r="269" spans="2:3" ht="15" customHeight="1" x14ac:dyDescent="0.25">
      <c r="B269" s="54">
        <v>46271</v>
      </c>
      <c r="C269" s="61"/>
    </row>
    <row r="270" spans="2:3" ht="15" customHeight="1" x14ac:dyDescent="0.25">
      <c r="B270" s="55" t="s">
        <v>37</v>
      </c>
      <c r="C270" s="62"/>
    </row>
    <row r="271" spans="2:3" ht="15" customHeight="1" x14ac:dyDescent="0.25">
      <c r="B271" s="55" t="s">
        <v>39</v>
      </c>
      <c r="C271" s="62"/>
    </row>
    <row r="272" spans="2:3" ht="15" customHeight="1" x14ac:dyDescent="0.25">
      <c r="B272" s="55" t="s">
        <v>32</v>
      </c>
      <c r="C272" s="62"/>
    </row>
    <row r="273" spans="2:3" ht="15" customHeight="1" x14ac:dyDescent="0.25">
      <c r="B273" s="55" t="s">
        <v>33</v>
      </c>
      <c r="C273" s="62"/>
    </row>
    <row r="274" spans="2:3" ht="15" customHeight="1" x14ac:dyDescent="0.25">
      <c r="B274" s="55" t="s">
        <v>34</v>
      </c>
      <c r="C274" s="62"/>
    </row>
    <row r="275" spans="2:3" ht="15" customHeight="1" x14ac:dyDescent="0.25">
      <c r="B275" s="55" t="s">
        <v>35</v>
      </c>
      <c r="C275" s="62"/>
    </row>
    <row r="276" spans="2:3" ht="15" customHeight="1" x14ac:dyDescent="0.25">
      <c r="B276" s="56" t="s">
        <v>38</v>
      </c>
      <c r="C276" s="63"/>
    </row>
    <row r="277" spans="2:3" ht="15" customHeight="1" x14ac:dyDescent="0.25">
      <c r="B277" s="54">
        <v>46278</v>
      </c>
      <c r="C277" s="61"/>
    </row>
    <row r="278" spans="2:3" ht="15" customHeight="1" x14ac:dyDescent="0.25">
      <c r="B278" s="55" t="s">
        <v>37</v>
      </c>
      <c r="C278" s="62"/>
    </row>
    <row r="279" spans="2:3" ht="15" customHeight="1" x14ac:dyDescent="0.25">
      <c r="B279" s="55" t="s">
        <v>39</v>
      </c>
      <c r="C279" s="62"/>
    </row>
    <row r="280" spans="2:3" ht="15" customHeight="1" x14ac:dyDescent="0.25">
      <c r="B280" s="55" t="s">
        <v>32</v>
      </c>
      <c r="C280" s="62"/>
    </row>
    <row r="281" spans="2:3" ht="15" customHeight="1" x14ac:dyDescent="0.25">
      <c r="B281" s="55" t="s">
        <v>33</v>
      </c>
      <c r="C281" s="62"/>
    </row>
    <row r="282" spans="2:3" ht="15" customHeight="1" x14ac:dyDescent="0.25">
      <c r="B282" s="55" t="s">
        <v>34</v>
      </c>
      <c r="C282" s="62"/>
    </row>
    <row r="283" spans="2:3" ht="15" customHeight="1" x14ac:dyDescent="0.25">
      <c r="B283" s="55" t="s">
        <v>35</v>
      </c>
      <c r="C283" s="62"/>
    </row>
    <row r="284" spans="2:3" ht="15" customHeight="1" x14ac:dyDescent="0.25">
      <c r="B284" s="56" t="s">
        <v>38</v>
      </c>
      <c r="C284" s="63"/>
    </row>
    <row r="285" spans="2:3" ht="15" customHeight="1" x14ac:dyDescent="0.25">
      <c r="B285" s="54">
        <v>46285</v>
      </c>
      <c r="C285" s="61"/>
    </row>
    <row r="286" spans="2:3" ht="15" customHeight="1" x14ac:dyDescent="0.25">
      <c r="B286" s="55" t="s">
        <v>37</v>
      </c>
      <c r="C286" s="62"/>
    </row>
    <row r="287" spans="2:3" ht="15" customHeight="1" x14ac:dyDescent="0.25">
      <c r="B287" s="55" t="s">
        <v>39</v>
      </c>
      <c r="C287" s="62"/>
    </row>
    <row r="288" spans="2:3" ht="15" customHeight="1" x14ac:dyDescent="0.25">
      <c r="B288" s="55" t="s">
        <v>32</v>
      </c>
      <c r="C288" s="62"/>
    </row>
    <row r="289" spans="2:3" ht="15" customHeight="1" x14ac:dyDescent="0.25">
      <c r="B289" s="55" t="s">
        <v>33</v>
      </c>
      <c r="C289" s="62"/>
    </row>
    <row r="290" spans="2:3" ht="15" customHeight="1" x14ac:dyDescent="0.25">
      <c r="B290" s="55" t="s">
        <v>34</v>
      </c>
      <c r="C290" s="62"/>
    </row>
    <row r="291" spans="2:3" ht="15" customHeight="1" x14ac:dyDescent="0.25">
      <c r="B291" s="55" t="s">
        <v>35</v>
      </c>
      <c r="C291" s="62"/>
    </row>
    <row r="292" spans="2:3" ht="15" customHeight="1" x14ac:dyDescent="0.25">
      <c r="B292" s="56" t="s">
        <v>38</v>
      </c>
      <c r="C292" s="63"/>
    </row>
    <row r="293" spans="2:3" ht="15" customHeight="1" x14ac:dyDescent="0.25">
      <c r="B293" s="54">
        <v>46292</v>
      </c>
      <c r="C293" s="61"/>
    </row>
    <row r="294" spans="2:3" ht="15" customHeight="1" x14ac:dyDescent="0.25">
      <c r="B294" s="55" t="s">
        <v>37</v>
      </c>
      <c r="C294" s="62"/>
    </row>
    <row r="295" spans="2:3" ht="15" customHeight="1" x14ac:dyDescent="0.25">
      <c r="B295" s="55" t="s">
        <v>39</v>
      </c>
      <c r="C295" s="62"/>
    </row>
    <row r="296" spans="2:3" ht="15" customHeight="1" x14ac:dyDescent="0.25">
      <c r="B296" s="55" t="s">
        <v>32</v>
      </c>
      <c r="C296" s="62"/>
    </row>
    <row r="297" spans="2:3" ht="15" customHeight="1" x14ac:dyDescent="0.25">
      <c r="B297" s="56" t="s">
        <v>38</v>
      </c>
      <c r="C297" s="63"/>
    </row>
    <row r="298" spans="2:3" ht="15" customHeight="1" x14ac:dyDescent="0.25">
      <c r="B298" s="53" t="s">
        <v>48</v>
      </c>
      <c r="C298" s="60"/>
    </row>
    <row r="299" spans="2:3" ht="15" customHeight="1" x14ac:dyDescent="0.25">
      <c r="B299" s="54" t="s">
        <v>48</v>
      </c>
      <c r="C299" s="61"/>
    </row>
    <row r="300" spans="2:3" ht="15" customHeight="1" x14ac:dyDescent="0.25">
      <c r="B300" s="56" t="s">
        <v>48</v>
      </c>
      <c r="C300" s="63"/>
    </row>
    <row r="301" spans="2:3" ht="15" customHeight="1" x14ac:dyDescent="0.25">
      <c r="B301" s="53" t="s">
        <v>36</v>
      </c>
      <c r="C301" s="60"/>
    </row>
    <row r="302" spans="2:3" ht="15" customHeight="1" x14ac:dyDescent="0.25">
      <c r="B302" s="54">
        <v>46110</v>
      </c>
      <c r="C302" s="61"/>
    </row>
    <row r="303" spans="2:3" ht="15" customHeight="1" x14ac:dyDescent="0.25">
      <c r="B303" s="55" t="s">
        <v>37</v>
      </c>
      <c r="C303" s="62"/>
    </row>
    <row r="304" spans="2:3" ht="15" customHeight="1" x14ac:dyDescent="0.25">
      <c r="B304" s="56" t="s">
        <v>38</v>
      </c>
      <c r="C304" s="63"/>
    </row>
    <row r="305" spans="2:3" ht="15" customHeight="1" x14ac:dyDescent="0.25">
      <c r="B305" s="54">
        <v>46089</v>
      </c>
      <c r="C305" s="61"/>
    </row>
    <row r="306" spans="2:3" ht="15" customHeight="1" x14ac:dyDescent="0.25">
      <c r="B306" s="55" t="s">
        <v>37</v>
      </c>
      <c r="C306" s="62"/>
    </row>
    <row r="307" spans="2:3" ht="15" customHeight="1" x14ac:dyDescent="0.25">
      <c r="B307" s="55" t="s">
        <v>39</v>
      </c>
      <c r="C307" s="62"/>
    </row>
    <row r="308" spans="2:3" ht="15" customHeight="1" x14ac:dyDescent="0.25">
      <c r="B308" s="55" t="s">
        <v>32</v>
      </c>
      <c r="C308" s="62"/>
    </row>
    <row r="309" spans="2:3" ht="15" customHeight="1" x14ac:dyDescent="0.25">
      <c r="B309" s="55" t="s">
        <v>33</v>
      </c>
      <c r="C309" s="62"/>
    </row>
    <row r="310" spans="2:3" ht="15" customHeight="1" x14ac:dyDescent="0.25">
      <c r="B310" s="55" t="s">
        <v>34</v>
      </c>
      <c r="C310" s="62"/>
    </row>
    <row r="311" spans="2:3" ht="15" customHeight="1" x14ac:dyDescent="0.25">
      <c r="B311" s="56" t="s">
        <v>35</v>
      </c>
      <c r="C311" s="63"/>
    </row>
    <row r="312" spans="2:3" ht="15" customHeight="1" x14ac:dyDescent="0.25">
      <c r="B312" s="54">
        <v>46096</v>
      </c>
      <c r="C312" s="61"/>
    </row>
    <row r="313" spans="2:3" ht="15" customHeight="1" x14ac:dyDescent="0.25">
      <c r="B313" s="55" t="s">
        <v>37</v>
      </c>
      <c r="C313" s="62"/>
    </row>
    <row r="314" spans="2:3" ht="15" customHeight="1" x14ac:dyDescent="0.25">
      <c r="B314" s="55" t="s">
        <v>39</v>
      </c>
      <c r="C314" s="62"/>
    </row>
    <row r="315" spans="2:3" ht="15" customHeight="1" x14ac:dyDescent="0.25">
      <c r="B315" s="55" t="s">
        <v>32</v>
      </c>
      <c r="C315" s="62"/>
    </row>
    <row r="316" spans="2:3" ht="15" customHeight="1" x14ac:dyDescent="0.25">
      <c r="B316" s="56" t="s">
        <v>38</v>
      </c>
      <c r="C316" s="63"/>
    </row>
    <row r="317" spans="2:3" ht="15" customHeight="1" x14ac:dyDescent="0.25">
      <c r="B317" s="54">
        <v>46103</v>
      </c>
      <c r="C317" s="61"/>
    </row>
    <row r="318" spans="2:3" ht="15" customHeight="1" x14ac:dyDescent="0.25">
      <c r="B318" s="55" t="s">
        <v>33</v>
      </c>
      <c r="C318" s="62"/>
    </row>
    <row r="319" spans="2:3" ht="15" customHeight="1" x14ac:dyDescent="0.25">
      <c r="B319" s="55" t="s">
        <v>34</v>
      </c>
      <c r="C319" s="62"/>
    </row>
    <row r="320" spans="2:3" ht="15" customHeight="1" x14ac:dyDescent="0.25">
      <c r="B320" s="56" t="s">
        <v>35</v>
      </c>
      <c r="C320" s="63"/>
    </row>
    <row r="321" spans="2:3" ht="15" customHeight="1" x14ac:dyDescent="0.25">
      <c r="B321" s="53" t="s">
        <v>49</v>
      </c>
      <c r="C321" s="60"/>
    </row>
    <row r="322" spans="2:3" ht="15" customHeight="1" x14ac:dyDescent="0.25">
      <c r="B322" s="54">
        <v>46383</v>
      </c>
      <c r="C322" s="61"/>
    </row>
    <row r="323" spans="2:3" ht="15" customHeight="1" x14ac:dyDescent="0.25">
      <c r="B323" s="56" t="s">
        <v>34</v>
      </c>
      <c r="C323" s="63"/>
    </row>
    <row r="324" spans="2:3" ht="15" customHeight="1" x14ac:dyDescent="0.25">
      <c r="B324" s="57" t="s">
        <v>50</v>
      </c>
      <c r="C324" s="65"/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0178de-73d9-456f-9bfc-96547beb5665" xsi:nil="true"/>
    <lcf76f155ced4ddcb4097134ff3c332f xmlns="295520e8-909a-4e45-b9af-bc3b6c48170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7F64A346E6E748A043A427E4819BBA" ma:contentTypeVersion="15" ma:contentTypeDescription="Create a new document." ma:contentTypeScope="" ma:versionID="3666fa15732d6ead8da7fd3925ee995a">
  <xsd:schema xmlns:xsd="http://www.w3.org/2001/XMLSchema" xmlns:xs="http://www.w3.org/2001/XMLSchema" xmlns:p="http://schemas.microsoft.com/office/2006/metadata/properties" xmlns:ns2="295520e8-909a-4e45-b9af-bc3b6c481701" xmlns:ns3="600178de-73d9-456f-9bfc-96547beb5665" targetNamespace="http://schemas.microsoft.com/office/2006/metadata/properties" ma:root="true" ma:fieldsID="e6b64748c5d5a60f15fb846bc44bf2fa" ns2:_="" ns3:_="">
    <xsd:import namespace="295520e8-909a-4e45-b9af-bc3b6c481701"/>
    <xsd:import namespace="600178de-73d9-456f-9bfc-96547beb56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520e8-909a-4e45-b9af-bc3b6c4817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c9cbcfc-50ad-4d70-b0b2-d9ada0d7d4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178de-73d9-456f-9bfc-96547beb56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ceea9e3-2ed5-45f0-8bd1-c67bc22c9a53}" ma:internalName="TaxCatchAll" ma:showField="CatchAllData" ma:web="600178de-73d9-456f-9bfc-96547beb56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D97192-E373-4105-8B24-9BA928B3FB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3AD40E-1EAB-486B-9BBA-FCF1C7CA6612}">
  <ds:schemaRefs>
    <ds:schemaRef ds:uri="http://schemas.microsoft.com/office/2006/metadata/properties"/>
    <ds:schemaRef ds:uri="http://schemas.microsoft.com/office/infopath/2007/PartnerControls"/>
    <ds:schemaRef ds:uri="600178de-73d9-456f-9bfc-96547beb5665"/>
    <ds:schemaRef ds:uri="295520e8-909a-4e45-b9af-bc3b6c481701"/>
  </ds:schemaRefs>
</ds:datastoreItem>
</file>

<file path=customXml/itemProps3.xml><?xml version="1.0" encoding="utf-8"?>
<ds:datastoreItem xmlns:ds="http://schemas.openxmlformats.org/officeDocument/2006/customXml" ds:itemID="{E2E2E50F-923D-4C0D-A36E-E0F66EBB4C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520e8-909a-4e45-b9af-bc3b6c481701"/>
    <ds:schemaRef ds:uri="600178de-73d9-456f-9bfc-96547beb56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Staffing 2026</vt:lpstr>
      <vt:lpstr>Orders &amp; Pallets</vt:lpstr>
      <vt:lpstr>Sheet1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Mounika Jabisetty</dc:creator>
  <dc:description/>
  <cp:lastModifiedBy>Mounika Jabisetty</cp:lastModifiedBy>
  <cp:revision>0</cp:revision>
  <dcterms:created xsi:type="dcterms:W3CDTF">2026-04-30T12:44:24Z</dcterms:created>
  <dcterms:modified xsi:type="dcterms:W3CDTF">2026-09-20T10:17:37Z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0x0101009D7F64A346E6E748A043A427E4819BBA</vt:lpwstr>
  </property>
  <property fmtid="{D5CDD505-2E9C-101B-9397-08002B2CF9AE}" pid="3" name="MediaServiceImageTags">
    <vt:lpwstr/>
  </property>
</Properties>
</file>